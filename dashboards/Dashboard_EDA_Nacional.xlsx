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olors5.xml" ContentType="application/vnd.ms-office.chartcolorstyle+xml"/>
  <Override PartName="/xl/charts/style5.xml" ContentType="application/vnd.ms-office.chartstyle+xml"/>
  <Override PartName="/xl/charts/colors3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dos Mensais" sheetId="2" state="visible" r:id="rId4"/>
    <sheet name="Dados Trimestrais" sheetId="3" state="visible" r:id="rId5"/>
    <sheet name="Resumo Anual" sheetId="4" state="visible" r:id="rId6"/>
    <sheet name="Correlações" sheetId="5" state="visible" r:id="rId7"/>
  </sheets>
  <definedNames>
    <definedName function="false" hidden="true" localSheetId="1" name="_xlnm._FilterDatabase" vbProcedure="false">'Dados Mensais'!$B$2:$Q$142</definedName>
    <definedName function="false" hidden="true" localSheetId="2" name="_xlnm._FilterDatabase" vbProcedure="false">'Dados Trimestrais'!$B$2:$H$49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<sst xmlns="http://schemas.openxmlformats.org/spreadsheetml/2006/main" count="369" uniqueCount="227">
  <si>
    <t xml:space="preserve">Energia em Dados — EDA Nacional (Brasil, 2015–2026)</t>
  </si>
  <si>
    <t xml:space="preserve">Bandeira tarifária x ENA x Geração Distribuída Solar — painel nacional, 140 meses (jan/2015–ago/2026)</t>
  </si>
  <si>
    <t xml:space="preserve">Mês</t>
  </si>
  <si>
    <t xml:space="preserve">Bandeira</t>
  </si>
  <si>
    <t xml:space="preserve">Nível (0-4)</t>
  </si>
  <si>
    <t xml:space="preserve">ENA % MLT Nordeste</t>
  </si>
  <si>
    <t xml:space="preserve">ENA % MLT Norte</t>
  </si>
  <si>
    <t xml:space="preserve">ENA % MLT Sudeste/CO</t>
  </si>
  <si>
    <t xml:space="preserve">ENA % MLT Sul</t>
  </si>
  <si>
    <t xml:space="preserve">ENA Nacional (MWmed)</t>
  </si>
  <si>
    <t xml:space="preserve">ENA Nacional % MLT</t>
  </si>
  <si>
    <t xml:space="preserve">Novas Conexões Solar</t>
  </si>
  <si>
    <t xml:space="preserve">Potência Nova (kW)</t>
  </si>
  <si>
    <t xml:space="preserve">Potência Acumulada (kW)</t>
  </si>
  <si>
    <t xml:space="preserve">Potência Acumulada (MW)</t>
  </si>
  <si>
    <t xml:space="preserve">Conexões Acumuladas</t>
  </si>
  <si>
    <t xml:space="preserve">Ano</t>
  </si>
  <si>
    <t xml:space="preserve">Cresc. Solar MoM (%)</t>
  </si>
  <si>
    <t xml:space="preserve">2015-01</t>
  </si>
  <si>
    <t xml:space="preserve">Vermelha P1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</si>
  <si>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</si>
  <si>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</si>
  <si>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</si>
  <si>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</si>
  <si>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</si>
  <si>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</si>
  <si>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</si>
  <si>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</si>
  <si>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</si>
  <si>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</si>
  <si>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</si>
  <si>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</si>
  <si>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</si>
  <si>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Vermelha P2</t>
  </si>
  <si>
    <t xml:space="preserve">2016-03</t>
  </si>
  <si>
    <t xml:space="preserve">Amarela</t>
  </si>
  <si>
    <t xml:space="preserve">2016-04</t>
  </si>
  <si>
    <t xml:space="preserve">Verde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</si>
  <si>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</si>
  <si>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</si>
  <si>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</si>
  <si>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</si>
  <si>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</si>
  <si>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</si>
  <si>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</si>
  <si>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</si>
  <si>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</si>
  <si>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</si>
  <si>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</si>
  <si>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</si>
  <si>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</si>
  <si>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</si>
  <si>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</si>
  <si>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</si>
  <si>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</si>
  <si>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</si>
  <si>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</si>
  <si>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</si>
  <si>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</si>
  <si>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</si>
  <si>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</si>
  <si>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</si>
  <si>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</si>
  <si>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</si>
  <si>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</si>
  <si>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</si>
  <si>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</si>
  <si>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</si>
  <si>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</si>
  <si>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</si>
  <si>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</si>
  <si>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</si>
  <si>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</si>
  <si>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</si>
  <si>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</si>
  <si>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</si>
  <si>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</si>
  <si>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</si>
  <si>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</si>
  <si>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</si>
  <si>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</si>
  <si>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</si>
  <si>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</si>
  <si>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</si>
  <si>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</si>
  <si>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</si>
  <si>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</si>
  <si>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</si>
  <si>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</si>
  <si>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</si>
  <si>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</si>
  <si>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</si>
  <si>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</si>
  <si>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</si>
  <si>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</si>
  <si>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</si>
  <si>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</si>
  <si>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</si>
  <si>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</si>
  <si>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</si>
  <si>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</si>
  <si>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</si>
  <si>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</si>
  <si>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Escassez Hídrica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</si>
  <si>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</si>
  <si>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</si>
  <si>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</si>
  <si>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</si>
  <si>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</si>
  <si>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</si>
  <si>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</si>
  <si>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</si>
  <si>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</si>
  <si>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</si>
  <si>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</si>
  <si>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</si>
  <si>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</si>
  <si>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</si>
  <si>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</si>
  <si>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</si>
  <si>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</si>
  <si>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</si>
  <si>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</si>
  <si>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</si>
  <si>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</si>
  <si>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</si>
  <si>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</si>
  <si>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</si>
  <si>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</si>
  <si>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</si>
  <si>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</si>
  <si>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</si>
  <si>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</si>
  <si>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</si>
  <si>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</si>
  <si>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</si>
  <si>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</si>
  <si>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</si>
  <si>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</si>
  <si>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</si>
  <si>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</si>
  <si>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</si>
  <si>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</si>
  <si>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</si>
  <si>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</si>
  <si>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</si>
  <si>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</si>
  <si>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</si>
  <si>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</si>
  <si>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</si>
  <si>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</si>
  <si>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</si>
  <si>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</si>
  <si>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</si>
  <si>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</si>
  <si>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</si>
  <si>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</si>
  <si>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</si>
  <si>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</si>
  <si>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</si>
  <si>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</si>
  <si>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</si>
  <si>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</si>
  <si>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Trimestre</t>
  </si>
  <si>
    <t xml:space="preserve">Nível Máx.</t>
  </si>
  <si>
    <t xml:space="preserve">Nível Médio</t>
  </si>
  <si>
    <t xml:space="preserve">ENA Médio (%MLT)</t>
  </si>
  <si>
    <t xml:space="preserve">ENA Sudeste Médio (%MLT)</t>
  </si>
  <si>
    <t xml:space="preserve">Potência Fim Trim. (MW)</t>
  </si>
  <si>
    <t xml:space="preserve">Cresc. Solar Trim. (%)</t>
  </si>
  <si>
    <t xml:space="preserve">2015Q1</t>
  </si>
  <si>
    <t xml:space="preserve">2015Q2</t>
  </si>
  <si>
    <t xml:space="preserve">2015Q3</t>
  </si>
  <si>
    <t xml:space="preserve">2015Q4</t>
  </si>
  <si>
    <t xml:space="preserve">2016Q1</t>
  </si>
  <si>
    <t xml:space="preserve">2016Q2</t>
  </si>
  <si>
    <t xml:space="preserve">2016Q3</t>
  </si>
  <si>
    <t xml:space="preserve">2016Q4</t>
  </si>
  <si>
    <t xml:space="preserve">2017Q1</t>
  </si>
  <si>
    <t xml:space="preserve">2017Q2</t>
  </si>
  <si>
    <t xml:space="preserve">2017Q3</t>
  </si>
  <si>
    <t xml:space="preserve">2017Q4</t>
  </si>
  <si>
    <t xml:space="preserve">2018Q1</t>
  </si>
  <si>
    <t xml:space="preserve">2018Q2</t>
  </si>
  <si>
    <t xml:space="preserve">2018Q3</t>
  </si>
  <si>
    <t xml:space="preserve">2018Q4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</si>
  <si>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</si>
  <si>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</si>
  <si>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</si>
  <si>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</si>
  <si>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</si>
  <si>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</si>
  <si>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</si>
  <si>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</si>
  <si>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</si>
  <si>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</si>
  <si>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</si>
  <si>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</si>
  <si>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</si>
  <si>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</si>
  <si>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</si>
  <si>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</si>
  <si>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</si>
  <si>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</si>
  <si>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</si>
  <si>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</si>
  <si>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</si>
  <si>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</si>
  <si>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2024Q3</t>
  </si>
  <si>
    <t xml:space="preserve">2024Q4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</si>
  <si>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</si>
  <si>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</si>
  <si>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</si>
  <si>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</si>
  <si>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</si>
  <si>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</si>
  <si>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</si>
  <si>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Meses por cor de bandeira, por ano</t>
  </si>
  <si>
    <t xml:space="preserve">Total de Meses</t>
  </si>
  <si>
    <t xml:space="preserve">Correlação do nível da bandeira com indicadores (série completa, 140 meses)</t>
  </si>
  <si>
    <t xml:space="preserve">Indicador</t>
  </si>
  <si>
    <t xml:space="preserve">Correlação (r)</t>
  </si>
  <si>
    <t xml:space="preserve">ENA Nacional (% MLT)</t>
  </si>
  <si>
    <t xml:space="preserve">ENA Sudeste/CO (% MLT)</t>
  </si>
  <si>
    <t xml:space="preserve">ENA Nordeste (% MLT)</t>
  </si>
  <si>
    <t xml:space="preserve">ENA Norte (% MLT)</t>
  </si>
  <si>
    <t xml:space="preserve">ENA Sul (% MLT)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</si>
</sst>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#,##0.0"/>
    <numFmt numFmtId="167" formatCode="#,##0"/>
    <numFmt numFmtId="168" formatCode="#,##0.00"/>
    <numFmt numFmtId="169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C4E54"/>
      <name val="Calibri"/>
      <family val="0"/>
      <charset val="1"/>
    </font>
    <font>
      <i val="true"/>
      <sz val="11"/>
      <color rgb="FF7A7974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6"/>
      <color rgb="FF0C4E54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1696F"/>
        <bgColor rgb="FF0C4E54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1696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0808D"/>
      <rgbColor rgb="FFD4D1CA"/>
      <rgbColor rgb="FF878787"/>
      <rgbColor rgb="FF9999FF"/>
      <rgbColor rgb="FFA13544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1696F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553"/>
      <rgbColor rgb="FF3366FF"/>
      <rgbColor rgb="FF33CCCC"/>
      <rgbColor rgb="FF99CC00"/>
      <rgbColor rgb="FFFFCC00"/>
      <rgbColor rgb="FFFF9900"/>
      <rgbColor rgb="FFDA7101"/>
      <rgbColor rgb="FF7A7974"/>
      <rgbColor rgb="FF969696"/>
      <rgbColor rgb="FF0C4E54"/>
      <rgbColor rgb="FF437A22"/>
      <rgbColor rgb="FF003300"/>
      <rgbColor rgb="FF333300"/>
      <rgbColor rgb="FFA84B2F"/>
      <rgbColor rgb="FF6E522B"/>
      <rgbColor rgb="FF333399"/>
      <rgbColor rgb="FF1B47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Bandeira tarifária nacional — nível mês a mês (0=Verde a 4=Escassez)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'Dados Mensais'!D2</c:f>
              <c:strCache>
                <c:ptCount val="1"/>
                <c:pt idx="0">
                  <c:v>Nível (0-4)</c:v>
                </c:pt>
              </c:strCache>
            </c:strRef>
          </c:tx>
          <c:spPr>
            <a:solidFill>
              <a:srgbClr val="20808D"/>
            </a:solidFill>
            <a:ln w="15120">
              <a:solidFill>
                <a:srgbClr val="2080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51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'Dados Mensais'!$B$3:$B$142</c:f>
              <c:strCache>
                <c:ptCount val="140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2019-01</c:v>
                </c:pt>
                <c:pt idx="49">
                  <c:v>2019-02</c:v>
                </c:pt>
                <c:pt idx="50">
                  <c:v>2019-03</c:v>
                </c:pt>
                <c:pt idx="51">
                  <c:v>2019-04</c:v>
                </c:pt>
                <c:pt idx="52">
                  <c:v>2019-05</c:v>
                </c:pt>
                <c:pt idx="53">
                  <c:v>2019-06</c:v>
                </c:pt>
                <c:pt idx="54">
                  <c:v>2019-07</c:v>
                </c:pt>
                <c:pt idx="55">
                  <c:v>2019-08</c:v>
                </c:pt>
                <c:pt idx="56">
                  <c:v>2019-09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2020-01</c:v>
                </c:pt>
                <c:pt idx="61">
                  <c:v>2020-02</c:v>
                </c:pt>
                <c:pt idx="62">
                  <c:v>2020-03</c:v>
                </c:pt>
                <c:pt idx="63">
                  <c:v>2020-04</c:v>
                </c:pt>
                <c:pt idx="64">
                  <c:v>2020-05</c:v>
                </c:pt>
                <c:pt idx="65">
                  <c:v>2020-06</c:v>
                </c:pt>
                <c:pt idx="66">
                  <c:v>2020-07</c:v>
                </c:pt>
                <c:pt idx="67">
                  <c:v>2020-08</c:v>
                </c:pt>
                <c:pt idx="68">
                  <c:v>2020-09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2021-01</c:v>
                </c:pt>
                <c:pt idx="73">
                  <c:v>2021-02</c:v>
                </c:pt>
                <c:pt idx="74">
                  <c:v>2021-03</c:v>
                </c:pt>
                <c:pt idx="75">
                  <c:v>2021-04</c:v>
                </c:pt>
                <c:pt idx="76">
                  <c:v>2021-05</c:v>
                </c:pt>
                <c:pt idx="77">
                  <c:v>2021-06</c:v>
                </c:pt>
                <c:pt idx="78">
                  <c:v>2021-07</c:v>
                </c:pt>
                <c:pt idx="79">
                  <c:v>2021-08</c:v>
                </c:pt>
                <c:pt idx="80">
                  <c:v>2021-09</c:v>
                </c:pt>
                <c:pt idx="81">
                  <c:v>2021-10</c:v>
                </c:pt>
                <c:pt idx="82">
                  <c:v>2021-11</c:v>
                </c:pt>
                <c:pt idx="83">
                  <c:v>2021-12</c:v>
                </c:pt>
                <c:pt idx="84">
                  <c:v>2022-01</c:v>
                </c:pt>
                <c:pt idx="85">
                  <c:v>2022-02</c:v>
                </c:pt>
                <c:pt idx="86">
                  <c:v>2022-03</c:v>
                </c:pt>
                <c:pt idx="87">
                  <c:v>2022-04</c:v>
                </c:pt>
                <c:pt idx="88">
                  <c:v>2022-05</c:v>
                </c:pt>
                <c:pt idx="89">
                  <c:v>2022-06</c:v>
                </c:pt>
                <c:pt idx="90">
                  <c:v>2022-07</c:v>
                </c:pt>
                <c:pt idx="91">
                  <c:v>2022-08</c:v>
                </c:pt>
                <c:pt idx="92">
                  <c:v>2022-09</c:v>
                </c:pt>
                <c:pt idx="93">
                  <c:v>2022-10</c:v>
                </c:pt>
                <c:pt idx="94">
                  <c:v>2022-11</c:v>
                </c:pt>
                <c:pt idx="95">
                  <c:v>2022-12</c:v>
                </c:pt>
                <c:pt idx="96">
                  <c:v>2023-01</c:v>
                </c:pt>
                <c:pt idx="97">
                  <c:v>2023-02</c:v>
                </c:pt>
                <c:pt idx="98">
                  <c:v>2023-03</c:v>
                </c:pt>
                <c:pt idx="99">
                  <c:v>2023-04</c:v>
                </c:pt>
                <c:pt idx="100">
                  <c:v>2023-05</c:v>
                </c:pt>
                <c:pt idx="101">
                  <c:v>2023-06</c:v>
                </c:pt>
                <c:pt idx="102">
                  <c:v>2023-07</c:v>
                </c:pt>
                <c:pt idx="103">
                  <c:v>2023-08</c:v>
                </c:pt>
                <c:pt idx="104">
                  <c:v>2023-09</c:v>
                </c:pt>
                <c:pt idx="105">
                  <c:v>2023-10</c:v>
                </c:pt>
                <c:pt idx="106">
                  <c:v>2023-11</c:v>
                </c:pt>
                <c:pt idx="107">
                  <c:v>2023-12</c:v>
                </c:pt>
                <c:pt idx="108">
                  <c:v>2024-01</c:v>
                </c:pt>
                <c:pt idx="109">
                  <c:v>2024-02</c:v>
                </c:pt>
                <c:pt idx="110">
                  <c:v>2024-03</c:v>
                </c:pt>
                <c:pt idx="111">
                  <c:v>2024-04</c:v>
                </c:pt>
                <c:pt idx="112">
                  <c:v>2024-05</c:v>
                </c:pt>
                <c:pt idx="113">
                  <c:v>2024-06</c:v>
                </c:pt>
                <c:pt idx="114">
                  <c:v>2024-07</c:v>
                </c:pt>
                <c:pt idx="115">
                  <c:v>2024-08</c:v>
                </c:pt>
                <c:pt idx="116">
                  <c:v>2024-09</c:v>
                </c:pt>
                <c:pt idx="117">
                  <c:v>2024-10</c:v>
                </c:pt>
                <c:pt idx="118">
                  <c:v>2024-11</c:v>
                </c:pt>
                <c:pt idx="119">
                  <c:v>2024-12</c:v>
                </c:pt>
                <c:pt idx="120">
                  <c:v>2025-01</c:v>
                </c:pt>
                <c:pt idx="121">
                  <c:v>2025-02</c:v>
                </c:pt>
                <c:pt idx="122">
                  <c:v>2025-03</c:v>
                </c:pt>
                <c:pt idx="123">
                  <c:v>2025-04</c:v>
                </c:pt>
                <c:pt idx="124">
                  <c:v>2025-05</c:v>
                </c:pt>
                <c:pt idx="125">
                  <c:v>2025-06</c:v>
                </c:pt>
                <c:pt idx="126">
                  <c:v>2025-07</c:v>
                </c:pt>
                <c:pt idx="127">
                  <c:v>2025-08</c:v>
                </c:pt>
                <c:pt idx="128">
                  <c:v>2025-09</c:v>
                </c:pt>
                <c:pt idx="129">
                  <c:v>2025-10</c:v>
                </c:pt>
                <c:pt idx="130">
                  <c:v>2025-11</c:v>
                </c:pt>
                <c:pt idx="131">
                  <c:v>2025-12</c:v>
                </c:pt>
                <c:pt idx="132">
                  <c:v>2026-01</c:v>
                </c:pt>
                <c:pt idx="133">
                  <c:v>2026-02</c:v>
                </c:pt>
                <c:pt idx="134">
                  <c:v>2026-03</c:v>
                </c:pt>
                <c:pt idx="135">
                  <c:v>2026-04</c:v>
                </c:pt>
                <c:pt idx="136">
                  <c:v>2026-05</c:v>
                </c:pt>
                <c:pt idx="137">
                  <c:v>2026-06</c:v>
                </c:pt>
                <c:pt idx="138">
                  <c:v>2026-07</c:v>
                </c:pt>
                <c:pt idx="139">
                  <c:v>2026-08</c:v>
                </c:pt>
              </c:strCache>
            </c:strRef>
          </c:cat>
          <c:val>
            <c:numRef>
              <c:f>'Dados Mensais'!$D$3:$D$142</c:f>
              <c:numCache>
                <c:formatCode>General</c:formatCode>
                <c:ptCount val="14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2</c:v>
                </c:pt>
                <c:pt idx="28">
                  <c:v>2</c:v>
                </c:pt>
                <c:pt idx="29">
                  <c:v>0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3</c:v>
                </c:pt>
                <c:pt idx="34">
                  <c:v>3</c:v>
                </c:pt>
                <c:pt idx="35">
                  <c:v>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1</c:v>
                </c:pt>
                <c:pt idx="55">
                  <c:v>2</c:v>
                </c:pt>
                <c:pt idx="56">
                  <c:v>2</c:v>
                </c:pt>
                <c:pt idx="57">
                  <c:v>1</c:v>
                </c:pt>
                <c:pt idx="58">
                  <c:v>2</c:v>
                </c:pt>
                <c:pt idx="59">
                  <c:v>1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3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2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0</c:v>
                </c:pt>
                <c:pt idx="116">
                  <c:v>2</c:v>
                </c:pt>
                <c:pt idx="117">
                  <c:v>3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2</c:v>
                </c:pt>
                <c:pt idx="126">
                  <c:v>2</c:v>
                </c:pt>
                <c:pt idx="127">
                  <c:v>3</c:v>
                </c:pt>
                <c:pt idx="128">
                  <c:v>3</c:v>
                </c:pt>
                <c:pt idx="129">
                  <c:v>2</c:v>
                </c:pt>
                <c:pt idx="130">
                  <c:v>2</c:v>
                </c:pt>
                <c:pt idx="131">
                  <c:v>1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5202621"/>
        <c:axId val="82541766"/>
      </c:lineChart>
      <c:catAx>
        <c:axId val="552026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541766"/>
        <c:crosses val="autoZero"/>
        <c:auto val="1"/>
        <c:lblAlgn val="ctr"/>
        <c:lblOffset val="100"/>
        <c:noMultiLvlLbl val="0"/>
      </c:catAx>
      <c:valAx>
        <c:axId val="825417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Nível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20262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ENA nacional (% da média de longo termo)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'Dados Mensais'!J2</c:f>
              <c:strCache>
                <c:ptCount val="1"/>
                <c:pt idx="0">
                  <c:v>ENA Nacional % MLT</c:v>
                </c:pt>
              </c:strCache>
            </c:strRef>
          </c:tx>
          <c:spPr>
            <a:solidFill>
              <a:srgbClr val="A84B2F"/>
            </a:solidFill>
            <a:ln w="15120">
              <a:solidFill>
                <a:srgbClr val="A84B2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51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'Dados Mensais'!$B$3:$B$142</c:f>
              <c:strCache>
                <c:ptCount val="140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2019-01</c:v>
                </c:pt>
                <c:pt idx="49">
                  <c:v>2019-02</c:v>
                </c:pt>
                <c:pt idx="50">
                  <c:v>2019-03</c:v>
                </c:pt>
                <c:pt idx="51">
                  <c:v>2019-04</c:v>
                </c:pt>
                <c:pt idx="52">
                  <c:v>2019-05</c:v>
                </c:pt>
                <c:pt idx="53">
                  <c:v>2019-06</c:v>
                </c:pt>
                <c:pt idx="54">
                  <c:v>2019-07</c:v>
                </c:pt>
                <c:pt idx="55">
                  <c:v>2019-08</c:v>
                </c:pt>
                <c:pt idx="56">
                  <c:v>2019-09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2020-01</c:v>
                </c:pt>
                <c:pt idx="61">
                  <c:v>2020-02</c:v>
                </c:pt>
                <c:pt idx="62">
                  <c:v>2020-03</c:v>
                </c:pt>
                <c:pt idx="63">
                  <c:v>2020-04</c:v>
                </c:pt>
                <c:pt idx="64">
                  <c:v>2020-05</c:v>
                </c:pt>
                <c:pt idx="65">
                  <c:v>2020-06</c:v>
                </c:pt>
                <c:pt idx="66">
                  <c:v>2020-07</c:v>
                </c:pt>
                <c:pt idx="67">
                  <c:v>2020-08</c:v>
                </c:pt>
                <c:pt idx="68">
                  <c:v>2020-09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2021-01</c:v>
                </c:pt>
                <c:pt idx="73">
                  <c:v>2021-02</c:v>
                </c:pt>
                <c:pt idx="74">
                  <c:v>2021-03</c:v>
                </c:pt>
                <c:pt idx="75">
                  <c:v>2021-04</c:v>
                </c:pt>
                <c:pt idx="76">
                  <c:v>2021-05</c:v>
                </c:pt>
                <c:pt idx="77">
                  <c:v>2021-06</c:v>
                </c:pt>
                <c:pt idx="78">
                  <c:v>2021-07</c:v>
                </c:pt>
                <c:pt idx="79">
                  <c:v>2021-08</c:v>
                </c:pt>
                <c:pt idx="80">
                  <c:v>2021-09</c:v>
                </c:pt>
                <c:pt idx="81">
                  <c:v>2021-10</c:v>
                </c:pt>
                <c:pt idx="82">
                  <c:v>2021-11</c:v>
                </c:pt>
                <c:pt idx="83">
                  <c:v>2021-12</c:v>
                </c:pt>
                <c:pt idx="84">
                  <c:v>2022-01</c:v>
                </c:pt>
                <c:pt idx="85">
                  <c:v>2022-02</c:v>
                </c:pt>
                <c:pt idx="86">
                  <c:v>2022-03</c:v>
                </c:pt>
                <c:pt idx="87">
                  <c:v>2022-04</c:v>
                </c:pt>
                <c:pt idx="88">
                  <c:v>2022-05</c:v>
                </c:pt>
                <c:pt idx="89">
                  <c:v>2022-06</c:v>
                </c:pt>
                <c:pt idx="90">
                  <c:v>2022-07</c:v>
                </c:pt>
                <c:pt idx="91">
                  <c:v>2022-08</c:v>
                </c:pt>
                <c:pt idx="92">
                  <c:v>2022-09</c:v>
                </c:pt>
                <c:pt idx="93">
                  <c:v>2022-10</c:v>
                </c:pt>
                <c:pt idx="94">
                  <c:v>2022-11</c:v>
                </c:pt>
                <c:pt idx="95">
                  <c:v>2022-12</c:v>
                </c:pt>
                <c:pt idx="96">
                  <c:v>2023-01</c:v>
                </c:pt>
                <c:pt idx="97">
                  <c:v>2023-02</c:v>
                </c:pt>
                <c:pt idx="98">
                  <c:v>2023-03</c:v>
                </c:pt>
                <c:pt idx="99">
                  <c:v>2023-04</c:v>
                </c:pt>
                <c:pt idx="100">
                  <c:v>2023-05</c:v>
                </c:pt>
                <c:pt idx="101">
                  <c:v>2023-06</c:v>
                </c:pt>
                <c:pt idx="102">
                  <c:v>2023-07</c:v>
                </c:pt>
                <c:pt idx="103">
                  <c:v>2023-08</c:v>
                </c:pt>
                <c:pt idx="104">
                  <c:v>2023-09</c:v>
                </c:pt>
                <c:pt idx="105">
                  <c:v>2023-10</c:v>
                </c:pt>
                <c:pt idx="106">
                  <c:v>2023-11</c:v>
                </c:pt>
                <c:pt idx="107">
                  <c:v>2023-12</c:v>
                </c:pt>
                <c:pt idx="108">
                  <c:v>2024-01</c:v>
                </c:pt>
                <c:pt idx="109">
                  <c:v>2024-02</c:v>
                </c:pt>
                <c:pt idx="110">
                  <c:v>2024-03</c:v>
                </c:pt>
                <c:pt idx="111">
                  <c:v>2024-04</c:v>
                </c:pt>
                <c:pt idx="112">
                  <c:v>2024-05</c:v>
                </c:pt>
                <c:pt idx="113">
                  <c:v>2024-06</c:v>
                </c:pt>
                <c:pt idx="114">
                  <c:v>2024-07</c:v>
                </c:pt>
                <c:pt idx="115">
                  <c:v>2024-08</c:v>
                </c:pt>
                <c:pt idx="116">
                  <c:v>2024-09</c:v>
                </c:pt>
                <c:pt idx="117">
                  <c:v>2024-10</c:v>
                </c:pt>
                <c:pt idx="118">
                  <c:v>2024-11</c:v>
                </c:pt>
                <c:pt idx="119">
                  <c:v>2024-12</c:v>
                </c:pt>
                <c:pt idx="120">
                  <c:v>2025-01</c:v>
                </c:pt>
                <c:pt idx="121">
                  <c:v>2025-02</c:v>
                </c:pt>
                <c:pt idx="122">
                  <c:v>2025-03</c:v>
                </c:pt>
                <c:pt idx="123">
                  <c:v>2025-04</c:v>
                </c:pt>
                <c:pt idx="124">
                  <c:v>2025-05</c:v>
                </c:pt>
                <c:pt idx="125">
                  <c:v>2025-06</c:v>
                </c:pt>
                <c:pt idx="126">
                  <c:v>2025-07</c:v>
                </c:pt>
                <c:pt idx="127">
                  <c:v>2025-08</c:v>
                </c:pt>
                <c:pt idx="128">
                  <c:v>2025-09</c:v>
                </c:pt>
                <c:pt idx="129">
                  <c:v>2025-10</c:v>
                </c:pt>
                <c:pt idx="130">
                  <c:v>2025-11</c:v>
                </c:pt>
                <c:pt idx="131">
                  <c:v>2025-12</c:v>
                </c:pt>
                <c:pt idx="132">
                  <c:v>2026-01</c:v>
                </c:pt>
                <c:pt idx="133">
                  <c:v>2026-02</c:v>
                </c:pt>
                <c:pt idx="134">
                  <c:v>2026-03</c:v>
                </c:pt>
                <c:pt idx="135">
                  <c:v>2026-04</c:v>
                </c:pt>
                <c:pt idx="136">
                  <c:v>2026-05</c:v>
                </c:pt>
                <c:pt idx="137">
                  <c:v>2026-06</c:v>
                </c:pt>
                <c:pt idx="138">
                  <c:v>2026-07</c:v>
                </c:pt>
                <c:pt idx="139">
                  <c:v>2026-08</c:v>
                </c:pt>
              </c:strCache>
            </c:strRef>
          </c:cat>
          <c:val>
            <c:numRef>
              <c:f>'Dados Mensais'!$J$3:$J$142</c:f>
              <c:numCache>
                <c:formatCode>0.00</c:formatCode>
                <c:ptCount val="140"/>
                <c:pt idx="0">
                  <c:v>84.01</c:v>
                </c:pt>
                <c:pt idx="1">
                  <c:v>71.05</c:v>
                </c:pt>
                <c:pt idx="2">
                  <c:v>75.13</c:v>
                </c:pt>
                <c:pt idx="3">
                  <c:v>84.17</c:v>
                </c:pt>
                <c:pt idx="4">
                  <c:v>87.39</c:v>
                </c:pt>
                <c:pt idx="5">
                  <c:v>93.06</c:v>
                </c:pt>
                <c:pt idx="6">
                  <c:v>131.04</c:v>
                </c:pt>
                <c:pt idx="7">
                  <c:v>74.82</c:v>
                </c:pt>
                <c:pt idx="8">
                  <c:v>86.42</c:v>
                </c:pt>
                <c:pt idx="9">
                  <c:v>103.87</c:v>
                </c:pt>
                <c:pt idx="10">
                  <c:v>96.42</c:v>
                </c:pt>
                <c:pt idx="11">
                  <c:v>112.24</c:v>
                </c:pt>
                <c:pt idx="12">
                  <c:v>107.39</c:v>
                </c:pt>
                <c:pt idx="13">
                  <c:v>103.91</c:v>
                </c:pt>
                <c:pt idx="14">
                  <c:v>99.51</c:v>
                </c:pt>
                <c:pt idx="15">
                  <c:v>73.09</c:v>
                </c:pt>
                <c:pt idx="16">
                  <c:v>69.39</c:v>
                </c:pt>
                <c:pt idx="17">
                  <c:v>71.69</c:v>
                </c:pt>
                <c:pt idx="18">
                  <c:v>67.25</c:v>
                </c:pt>
                <c:pt idx="19">
                  <c:v>75.2</c:v>
                </c:pt>
                <c:pt idx="20">
                  <c:v>65.96</c:v>
                </c:pt>
                <c:pt idx="21">
                  <c:v>68.02</c:v>
                </c:pt>
                <c:pt idx="22">
                  <c:v>62.74</c:v>
                </c:pt>
                <c:pt idx="23">
                  <c:v>70.89</c:v>
                </c:pt>
                <c:pt idx="24">
                  <c:v>73.96</c:v>
                </c:pt>
                <c:pt idx="25">
                  <c:v>71.14</c:v>
                </c:pt>
                <c:pt idx="26">
                  <c:v>65.34</c:v>
                </c:pt>
                <c:pt idx="27">
                  <c:v>63.64</c:v>
                </c:pt>
                <c:pt idx="28">
                  <c:v>87.49</c:v>
                </c:pt>
                <c:pt idx="29">
                  <c:v>117</c:v>
                </c:pt>
                <c:pt idx="30">
                  <c:v>52.81</c:v>
                </c:pt>
                <c:pt idx="31">
                  <c:v>57.61</c:v>
                </c:pt>
                <c:pt idx="32">
                  <c:v>45.54</c:v>
                </c:pt>
                <c:pt idx="33">
                  <c:v>56.38</c:v>
                </c:pt>
                <c:pt idx="34">
                  <c:v>79.46</c:v>
                </c:pt>
                <c:pt idx="35">
                  <c:v>78.6</c:v>
                </c:pt>
                <c:pt idx="36">
                  <c:v>96.91</c:v>
                </c:pt>
                <c:pt idx="37">
                  <c:v>80.88</c:v>
                </c:pt>
                <c:pt idx="38">
                  <c:v>83.09</c:v>
                </c:pt>
                <c:pt idx="39">
                  <c:v>81.9</c:v>
                </c:pt>
                <c:pt idx="40">
                  <c:v>54.76</c:v>
                </c:pt>
                <c:pt idx="41">
                  <c:v>55.03</c:v>
                </c:pt>
                <c:pt idx="42">
                  <c:v>58.55</c:v>
                </c:pt>
                <c:pt idx="43">
                  <c:v>60.25</c:v>
                </c:pt>
                <c:pt idx="44">
                  <c:v>73.3</c:v>
                </c:pt>
                <c:pt idx="45">
                  <c:v>82.99</c:v>
                </c:pt>
                <c:pt idx="46">
                  <c:v>98.56</c:v>
                </c:pt>
                <c:pt idx="47">
                  <c:v>94.22</c:v>
                </c:pt>
                <c:pt idx="48">
                  <c:v>69.59</c:v>
                </c:pt>
                <c:pt idx="49">
                  <c:v>59.23</c:v>
                </c:pt>
                <c:pt idx="50">
                  <c:v>89.55</c:v>
                </c:pt>
                <c:pt idx="51">
                  <c:v>86.97</c:v>
                </c:pt>
                <c:pt idx="52">
                  <c:v>101.41</c:v>
                </c:pt>
                <c:pt idx="53">
                  <c:v>96.8</c:v>
                </c:pt>
                <c:pt idx="54">
                  <c:v>70.57</c:v>
                </c:pt>
                <c:pt idx="55">
                  <c:v>58.63</c:v>
                </c:pt>
                <c:pt idx="56">
                  <c:v>52.4</c:v>
                </c:pt>
                <c:pt idx="57">
                  <c:v>50.74</c:v>
                </c:pt>
                <c:pt idx="58">
                  <c:v>62.41</c:v>
                </c:pt>
                <c:pt idx="59">
                  <c:v>60.55</c:v>
                </c:pt>
                <c:pt idx="60">
                  <c:v>56.24</c:v>
                </c:pt>
                <c:pt idx="61">
                  <c:v>73.88</c:v>
                </c:pt>
                <c:pt idx="62">
                  <c:v>83.99</c:v>
                </c:pt>
                <c:pt idx="63">
                  <c:v>79.58</c:v>
                </c:pt>
                <c:pt idx="64">
                  <c:v>74.53</c:v>
                </c:pt>
                <c:pt idx="65">
                  <c:v>83.83</c:v>
                </c:pt>
                <c:pt idx="66">
                  <c:v>93.46</c:v>
                </c:pt>
                <c:pt idx="67">
                  <c:v>85.93</c:v>
                </c:pt>
                <c:pt idx="68">
                  <c:v>67.01</c:v>
                </c:pt>
                <c:pt idx="69">
                  <c:v>51.59</c:v>
                </c:pt>
                <c:pt idx="70">
                  <c:v>67.45</c:v>
                </c:pt>
                <c:pt idx="71">
                  <c:v>66.75</c:v>
                </c:pt>
                <c:pt idx="72">
                  <c:v>79.37</c:v>
                </c:pt>
                <c:pt idx="73">
                  <c:v>75.39</c:v>
                </c:pt>
                <c:pt idx="74">
                  <c:v>81.27</c:v>
                </c:pt>
                <c:pt idx="75">
                  <c:v>53.98</c:v>
                </c:pt>
                <c:pt idx="76">
                  <c:v>53.32</c:v>
                </c:pt>
                <c:pt idx="77">
                  <c:v>58.07</c:v>
                </c:pt>
                <c:pt idx="78">
                  <c:v>56.55</c:v>
                </c:pt>
                <c:pt idx="79">
                  <c:v>54.18</c:v>
                </c:pt>
                <c:pt idx="80">
                  <c:v>61.91</c:v>
                </c:pt>
                <c:pt idx="81">
                  <c:v>78.98</c:v>
                </c:pt>
                <c:pt idx="82">
                  <c:v>95.08</c:v>
                </c:pt>
                <c:pt idx="83">
                  <c:v>101.72</c:v>
                </c:pt>
                <c:pt idx="84">
                  <c:v>125.05</c:v>
                </c:pt>
                <c:pt idx="85">
                  <c:v>106.43</c:v>
                </c:pt>
                <c:pt idx="86">
                  <c:v>104.75</c:v>
                </c:pt>
                <c:pt idx="87">
                  <c:v>101.37</c:v>
                </c:pt>
                <c:pt idx="88">
                  <c:v>107.12</c:v>
                </c:pt>
                <c:pt idx="89">
                  <c:v>115.31</c:v>
                </c:pt>
                <c:pt idx="90">
                  <c:v>76.08</c:v>
                </c:pt>
                <c:pt idx="91">
                  <c:v>93.31</c:v>
                </c:pt>
                <c:pt idx="92">
                  <c:v>85.76</c:v>
                </c:pt>
                <c:pt idx="93">
                  <c:v>102.9</c:v>
                </c:pt>
                <c:pt idx="94">
                  <c:v>87.52</c:v>
                </c:pt>
                <c:pt idx="95">
                  <c:v>106.36</c:v>
                </c:pt>
                <c:pt idx="96">
                  <c:v>112.78</c:v>
                </c:pt>
                <c:pt idx="97">
                  <c:v>97</c:v>
                </c:pt>
                <c:pt idx="98">
                  <c:v>94.07</c:v>
                </c:pt>
                <c:pt idx="99">
                  <c:v>84.33</c:v>
                </c:pt>
                <c:pt idx="100">
                  <c:v>74.82</c:v>
                </c:pt>
                <c:pt idx="101">
                  <c:v>74.87</c:v>
                </c:pt>
                <c:pt idx="102">
                  <c:v>93.01</c:v>
                </c:pt>
                <c:pt idx="103">
                  <c:v>76.35</c:v>
                </c:pt>
                <c:pt idx="104">
                  <c:v>92.62</c:v>
                </c:pt>
                <c:pt idx="105">
                  <c:v>135.41</c:v>
                </c:pt>
                <c:pt idx="106">
                  <c:v>166.26</c:v>
                </c:pt>
                <c:pt idx="107">
                  <c:v>78.25</c:v>
                </c:pt>
                <c:pt idx="108">
                  <c:v>71.01</c:v>
                </c:pt>
                <c:pt idx="109">
                  <c:v>72.26</c:v>
                </c:pt>
                <c:pt idx="110">
                  <c:v>83.64</c:v>
                </c:pt>
                <c:pt idx="111">
                  <c:v>95.36</c:v>
                </c:pt>
                <c:pt idx="112">
                  <c:v>129.85</c:v>
                </c:pt>
                <c:pt idx="113">
                  <c:v>75.12</c:v>
                </c:pt>
                <c:pt idx="114">
                  <c:v>82.71</c:v>
                </c:pt>
                <c:pt idx="115">
                  <c:v>53.02</c:v>
                </c:pt>
                <c:pt idx="116">
                  <c:v>48.9</c:v>
                </c:pt>
                <c:pt idx="117">
                  <c:v>56.54</c:v>
                </c:pt>
                <c:pt idx="118">
                  <c:v>81.55</c:v>
                </c:pt>
                <c:pt idx="119">
                  <c:v>110.2</c:v>
                </c:pt>
                <c:pt idx="120">
                  <c:v>94.45</c:v>
                </c:pt>
                <c:pt idx="121">
                  <c:v>92.34</c:v>
                </c:pt>
                <c:pt idx="122">
                  <c:v>59.75</c:v>
                </c:pt>
                <c:pt idx="123">
                  <c:v>64.44</c:v>
                </c:pt>
                <c:pt idx="124">
                  <c:v>59.16</c:v>
                </c:pt>
                <c:pt idx="125">
                  <c:v>89.61</c:v>
                </c:pt>
                <c:pt idx="126">
                  <c:v>75.81</c:v>
                </c:pt>
                <c:pt idx="127">
                  <c:v>71.97</c:v>
                </c:pt>
                <c:pt idx="128">
                  <c:v>67.86</c:v>
                </c:pt>
                <c:pt idx="129">
                  <c:v>59.16</c:v>
                </c:pt>
                <c:pt idx="130">
                  <c:v>61.08</c:v>
                </c:pt>
                <c:pt idx="131">
                  <c:v>64.48</c:v>
                </c:pt>
                <c:pt idx="132">
                  <c:v>64.18</c:v>
                </c:pt>
                <c:pt idx="133">
                  <c:v>74</c:v>
                </c:pt>
                <c:pt idx="134">
                  <c:v>84.17</c:v>
                </c:pt>
                <c:pt idx="135">
                  <c:v>76.83</c:v>
                </c:pt>
                <c:pt idx="136">
                  <c:v>82.05</c:v>
                </c:pt>
                <c:pt idx="137">
                  <c:v>71.32</c:v>
                </c:pt>
                <c:pt idx="138">
                  <c:v>120.08</c:v>
                </c:pt>
                <c:pt idx="139">
                  <c:v>110.14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7763256"/>
        <c:axId val="59407583"/>
      </c:lineChart>
      <c:catAx>
        <c:axId val="177632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407583"/>
        <c:crosses val="autoZero"/>
        <c:auto val="1"/>
        <c:lblAlgn val="ctr"/>
        <c:lblOffset val="100"/>
        <c:noMultiLvlLbl val="0"/>
      </c:catAx>
      <c:valAx>
        <c:axId val="594075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 da MLT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776325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Potência solar (GD) acumulada — Brasil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'Dados Mensais'!N2</c:f>
              <c:strCache>
                <c:ptCount val="1"/>
                <c:pt idx="0">
                  <c:v>Potência Acumulada (MW)</c:v>
                </c:pt>
              </c:strCache>
            </c:strRef>
          </c:tx>
          <c:spPr>
            <a:solidFill>
              <a:srgbClr val="1B474D"/>
            </a:solidFill>
            <a:ln w="15120">
              <a:solidFill>
                <a:srgbClr val="1B474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51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'Dados Mensais'!$B$3:$B$142</c:f>
              <c:strCache>
                <c:ptCount val="140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2019-01</c:v>
                </c:pt>
                <c:pt idx="49">
                  <c:v>2019-02</c:v>
                </c:pt>
                <c:pt idx="50">
                  <c:v>2019-03</c:v>
                </c:pt>
                <c:pt idx="51">
                  <c:v>2019-04</c:v>
                </c:pt>
                <c:pt idx="52">
                  <c:v>2019-05</c:v>
                </c:pt>
                <c:pt idx="53">
                  <c:v>2019-06</c:v>
                </c:pt>
                <c:pt idx="54">
                  <c:v>2019-07</c:v>
                </c:pt>
                <c:pt idx="55">
                  <c:v>2019-08</c:v>
                </c:pt>
                <c:pt idx="56">
                  <c:v>2019-09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  <c:pt idx="60">
                  <c:v>2020-01</c:v>
                </c:pt>
                <c:pt idx="61">
                  <c:v>2020-02</c:v>
                </c:pt>
                <c:pt idx="62">
                  <c:v>2020-03</c:v>
                </c:pt>
                <c:pt idx="63">
                  <c:v>2020-04</c:v>
                </c:pt>
                <c:pt idx="64">
                  <c:v>2020-05</c:v>
                </c:pt>
                <c:pt idx="65">
                  <c:v>2020-06</c:v>
                </c:pt>
                <c:pt idx="66">
                  <c:v>2020-07</c:v>
                </c:pt>
                <c:pt idx="67">
                  <c:v>2020-08</c:v>
                </c:pt>
                <c:pt idx="68">
                  <c:v>2020-09</c:v>
                </c:pt>
                <c:pt idx="69">
                  <c:v>2020-10</c:v>
                </c:pt>
                <c:pt idx="70">
                  <c:v>2020-11</c:v>
                </c:pt>
                <c:pt idx="71">
                  <c:v>2020-12</c:v>
                </c:pt>
                <c:pt idx="72">
                  <c:v>2021-01</c:v>
                </c:pt>
                <c:pt idx="73">
                  <c:v>2021-02</c:v>
                </c:pt>
                <c:pt idx="74">
                  <c:v>2021-03</c:v>
                </c:pt>
                <c:pt idx="75">
                  <c:v>2021-04</c:v>
                </c:pt>
                <c:pt idx="76">
                  <c:v>2021-05</c:v>
                </c:pt>
                <c:pt idx="77">
                  <c:v>2021-06</c:v>
                </c:pt>
                <c:pt idx="78">
                  <c:v>2021-07</c:v>
                </c:pt>
                <c:pt idx="79">
                  <c:v>2021-08</c:v>
                </c:pt>
                <c:pt idx="80">
                  <c:v>2021-09</c:v>
                </c:pt>
                <c:pt idx="81">
                  <c:v>2021-10</c:v>
                </c:pt>
                <c:pt idx="82">
                  <c:v>2021-11</c:v>
                </c:pt>
                <c:pt idx="83">
                  <c:v>2021-12</c:v>
                </c:pt>
                <c:pt idx="84">
                  <c:v>2022-01</c:v>
                </c:pt>
                <c:pt idx="85">
                  <c:v>2022-02</c:v>
                </c:pt>
                <c:pt idx="86">
                  <c:v>2022-03</c:v>
                </c:pt>
                <c:pt idx="87">
                  <c:v>2022-04</c:v>
                </c:pt>
                <c:pt idx="88">
                  <c:v>2022-05</c:v>
                </c:pt>
                <c:pt idx="89">
                  <c:v>2022-06</c:v>
                </c:pt>
                <c:pt idx="90">
                  <c:v>2022-07</c:v>
                </c:pt>
                <c:pt idx="91">
                  <c:v>2022-08</c:v>
                </c:pt>
                <c:pt idx="92">
                  <c:v>2022-09</c:v>
                </c:pt>
                <c:pt idx="93">
                  <c:v>2022-10</c:v>
                </c:pt>
                <c:pt idx="94">
                  <c:v>2022-11</c:v>
                </c:pt>
                <c:pt idx="95">
                  <c:v>2022-12</c:v>
                </c:pt>
                <c:pt idx="96">
                  <c:v>2023-01</c:v>
                </c:pt>
                <c:pt idx="97">
                  <c:v>2023-02</c:v>
                </c:pt>
                <c:pt idx="98">
                  <c:v>2023-03</c:v>
                </c:pt>
                <c:pt idx="99">
                  <c:v>2023-04</c:v>
                </c:pt>
                <c:pt idx="100">
                  <c:v>2023-05</c:v>
                </c:pt>
                <c:pt idx="101">
                  <c:v>2023-06</c:v>
                </c:pt>
                <c:pt idx="102">
                  <c:v>2023-07</c:v>
                </c:pt>
                <c:pt idx="103">
                  <c:v>2023-08</c:v>
                </c:pt>
                <c:pt idx="104">
                  <c:v>2023-09</c:v>
                </c:pt>
                <c:pt idx="105">
                  <c:v>2023-10</c:v>
                </c:pt>
                <c:pt idx="106">
                  <c:v>2023-11</c:v>
                </c:pt>
                <c:pt idx="107">
                  <c:v>2023-12</c:v>
                </c:pt>
                <c:pt idx="108">
                  <c:v>2024-01</c:v>
                </c:pt>
                <c:pt idx="109">
                  <c:v>2024-02</c:v>
                </c:pt>
                <c:pt idx="110">
                  <c:v>2024-03</c:v>
                </c:pt>
                <c:pt idx="111">
                  <c:v>2024-04</c:v>
                </c:pt>
                <c:pt idx="112">
                  <c:v>2024-05</c:v>
                </c:pt>
                <c:pt idx="113">
                  <c:v>2024-06</c:v>
                </c:pt>
                <c:pt idx="114">
                  <c:v>2024-07</c:v>
                </c:pt>
                <c:pt idx="115">
                  <c:v>2024-08</c:v>
                </c:pt>
                <c:pt idx="116">
                  <c:v>2024-09</c:v>
                </c:pt>
                <c:pt idx="117">
                  <c:v>2024-10</c:v>
                </c:pt>
                <c:pt idx="118">
                  <c:v>2024-11</c:v>
                </c:pt>
                <c:pt idx="119">
                  <c:v>2024-12</c:v>
                </c:pt>
                <c:pt idx="120">
                  <c:v>2025-01</c:v>
                </c:pt>
                <c:pt idx="121">
                  <c:v>2025-02</c:v>
                </c:pt>
                <c:pt idx="122">
                  <c:v>2025-03</c:v>
                </c:pt>
                <c:pt idx="123">
                  <c:v>2025-04</c:v>
                </c:pt>
                <c:pt idx="124">
                  <c:v>2025-05</c:v>
                </c:pt>
                <c:pt idx="125">
                  <c:v>2025-06</c:v>
                </c:pt>
                <c:pt idx="126">
                  <c:v>2025-07</c:v>
                </c:pt>
                <c:pt idx="127">
                  <c:v>2025-08</c:v>
                </c:pt>
                <c:pt idx="128">
                  <c:v>2025-09</c:v>
                </c:pt>
                <c:pt idx="129">
                  <c:v>2025-10</c:v>
                </c:pt>
                <c:pt idx="130">
                  <c:v>2025-11</c:v>
                </c:pt>
                <c:pt idx="131">
                  <c:v>2025-12</c:v>
                </c:pt>
                <c:pt idx="132">
                  <c:v>2026-01</c:v>
                </c:pt>
                <c:pt idx="133">
                  <c:v>2026-02</c:v>
                </c:pt>
                <c:pt idx="134">
                  <c:v>2026-03</c:v>
                </c:pt>
                <c:pt idx="135">
                  <c:v>2026-04</c:v>
                </c:pt>
                <c:pt idx="136">
                  <c:v>2026-05</c:v>
                </c:pt>
                <c:pt idx="137">
                  <c:v>2026-06</c:v>
                </c:pt>
                <c:pt idx="138">
                  <c:v>2026-07</c:v>
                </c:pt>
                <c:pt idx="139">
                  <c:v>2026-08</c:v>
                </c:pt>
              </c:strCache>
            </c:strRef>
          </c:cat>
          <c:val>
            <c:numRef>
              <c:f>'Dados Mensais'!$N$3:$N$142</c:f>
              <c:numCache>
                <c:formatCode>#,##0.00</c:formatCode>
                <c:ptCount val="140"/>
                <c:pt idx="0">
                  <c:v>5.23</c:v>
                </c:pt>
                <c:pt idx="1">
                  <c:v>5.58</c:v>
                </c:pt>
                <c:pt idx="2">
                  <c:v>5.82</c:v>
                </c:pt>
                <c:pt idx="3">
                  <c:v>6.13</c:v>
                </c:pt>
                <c:pt idx="4">
                  <c:v>6.71</c:v>
                </c:pt>
                <c:pt idx="5">
                  <c:v>7.18</c:v>
                </c:pt>
                <c:pt idx="6">
                  <c:v>8.35</c:v>
                </c:pt>
                <c:pt idx="7">
                  <c:v>8.92</c:v>
                </c:pt>
                <c:pt idx="8">
                  <c:v>9.97</c:v>
                </c:pt>
                <c:pt idx="9">
                  <c:v>10.88</c:v>
                </c:pt>
                <c:pt idx="10">
                  <c:v>13.14</c:v>
                </c:pt>
                <c:pt idx="11">
                  <c:v>14.85</c:v>
                </c:pt>
                <c:pt idx="12">
                  <c:v>16.7</c:v>
                </c:pt>
                <c:pt idx="13">
                  <c:v>18.62</c:v>
                </c:pt>
                <c:pt idx="14">
                  <c:v>21.15</c:v>
                </c:pt>
                <c:pt idx="15">
                  <c:v>23.73</c:v>
                </c:pt>
                <c:pt idx="16">
                  <c:v>27.15</c:v>
                </c:pt>
                <c:pt idx="17">
                  <c:v>32.08</c:v>
                </c:pt>
                <c:pt idx="18">
                  <c:v>35.39</c:v>
                </c:pt>
                <c:pt idx="19">
                  <c:v>39.12</c:v>
                </c:pt>
                <c:pt idx="20">
                  <c:v>43.64</c:v>
                </c:pt>
                <c:pt idx="21">
                  <c:v>48.32</c:v>
                </c:pt>
                <c:pt idx="22">
                  <c:v>52.97</c:v>
                </c:pt>
                <c:pt idx="23">
                  <c:v>58.74</c:v>
                </c:pt>
                <c:pt idx="24">
                  <c:v>63.35</c:v>
                </c:pt>
                <c:pt idx="25">
                  <c:v>67.54</c:v>
                </c:pt>
                <c:pt idx="26">
                  <c:v>73.74</c:v>
                </c:pt>
                <c:pt idx="27">
                  <c:v>80.18</c:v>
                </c:pt>
                <c:pt idx="28">
                  <c:v>89.58</c:v>
                </c:pt>
                <c:pt idx="29">
                  <c:v>98.41</c:v>
                </c:pt>
                <c:pt idx="30">
                  <c:v>107.27</c:v>
                </c:pt>
                <c:pt idx="31">
                  <c:v>121.05</c:v>
                </c:pt>
                <c:pt idx="32">
                  <c:v>134.6</c:v>
                </c:pt>
                <c:pt idx="33">
                  <c:v>148.09</c:v>
                </c:pt>
                <c:pt idx="34">
                  <c:v>164.23</c:v>
                </c:pt>
                <c:pt idx="35">
                  <c:v>184.11</c:v>
                </c:pt>
                <c:pt idx="36">
                  <c:v>201.47</c:v>
                </c:pt>
                <c:pt idx="37">
                  <c:v>226.8</c:v>
                </c:pt>
                <c:pt idx="38">
                  <c:v>249.72</c:v>
                </c:pt>
                <c:pt idx="39">
                  <c:v>270.82</c:v>
                </c:pt>
                <c:pt idx="40">
                  <c:v>296.87</c:v>
                </c:pt>
                <c:pt idx="41">
                  <c:v>329.18</c:v>
                </c:pt>
                <c:pt idx="42">
                  <c:v>357.73</c:v>
                </c:pt>
                <c:pt idx="43">
                  <c:v>398.45</c:v>
                </c:pt>
                <c:pt idx="44">
                  <c:v>436.74</c:v>
                </c:pt>
                <c:pt idx="45">
                  <c:v>480.63</c:v>
                </c:pt>
                <c:pt idx="46">
                  <c:v>530.74</c:v>
                </c:pt>
                <c:pt idx="47">
                  <c:v>586.93</c:v>
                </c:pt>
                <c:pt idx="48">
                  <c:v>648.22</c:v>
                </c:pt>
                <c:pt idx="49">
                  <c:v>715.86</c:v>
                </c:pt>
                <c:pt idx="50">
                  <c:v>781.87</c:v>
                </c:pt>
                <c:pt idx="51">
                  <c:v>862.77</c:v>
                </c:pt>
                <c:pt idx="52">
                  <c:v>961.24</c:v>
                </c:pt>
                <c:pt idx="53">
                  <c:v>1045.8</c:v>
                </c:pt>
                <c:pt idx="54">
                  <c:v>1167.59</c:v>
                </c:pt>
                <c:pt idx="55">
                  <c:v>1295.44</c:v>
                </c:pt>
                <c:pt idx="56">
                  <c:v>1422.7</c:v>
                </c:pt>
                <c:pt idx="57">
                  <c:v>1569.2</c:v>
                </c:pt>
                <c:pt idx="58">
                  <c:v>1723.76</c:v>
                </c:pt>
                <c:pt idx="59">
                  <c:v>1939.49</c:v>
                </c:pt>
                <c:pt idx="60">
                  <c:v>2159.04</c:v>
                </c:pt>
                <c:pt idx="61">
                  <c:v>2358.31</c:v>
                </c:pt>
                <c:pt idx="62">
                  <c:v>2538.82</c:v>
                </c:pt>
                <c:pt idx="63">
                  <c:v>2677.09</c:v>
                </c:pt>
                <c:pt idx="64">
                  <c:v>2810.19</c:v>
                </c:pt>
                <c:pt idx="65">
                  <c:v>2992.62</c:v>
                </c:pt>
                <c:pt idx="66">
                  <c:v>3189.77</c:v>
                </c:pt>
                <c:pt idx="67">
                  <c:v>3370.29</c:v>
                </c:pt>
                <c:pt idx="68">
                  <c:v>3572.41</c:v>
                </c:pt>
                <c:pt idx="69">
                  <c:v>3822.13</c:v>
                </c:pt>
                <c:pt idx="70">
                  <c:v>4078.78</c:v>
                </c:pt>
                <c:pt idx="71">
                  <c:v>4361.15</c:v>
                </c:pt>
                <c:pt idx="72">
                  <c:v>4620.99</c:v>
                </c:pt>
                <c:pt idx="73">
                  <c:v>4870.85</c:v>
                </c:pt>
                <c:pt idx="74">
                  <c:v>5212.38</c:v>
                </c:pt>
                <c:pt idx="75">
                  <c:v>5484.71</c:v>
                </c:pt>
                <c:pt idx="76">
                  <c:v>5800.02</c:v>
                </c:pt>
                <c:pt idx="77">
                  <c:v>6094.12</c:v>
                </c:pt>
                <c:pt idx="78">
                  <c:v>6433.08</c:v>
                </c:pt>
                <c:pt idx="79">
                  <c:v>6846.6</c:v>
                </c:pt>
                <c:pt idx="80">
                  <c:v>7242.65</c:v>
                </c:pt>
                <c:pt idx="81">
                  <c:v>7654.85</c:v>
                </c:pt>
                <c:pt idx="82">
                  <c:v>8146.08</c:v>
                </c:pt>
                <c:pt idx="83">
                  <c:v>8714.07</c:v>
                </c:pt>
                <c:pt idx="84">
                  <c:v>9149.4</c:v>
                </c:pt>
                <c:pt idx="85">
                  <c:v>9652.86</c:v>
                </c:pt>
                <c:pt idx="86">
                  <c:v>10256.15</c:v>
                </c:pt>
                <c:pt idx="87">
                  <c:v>10799.66</c:v>
                </c:pt>
                <c:pt idx="88">
                  <c:v>11413.65</c:v>
                </c:pt>
                <c:pt idx="89">
                  <c:v>12054.38</c:v>
                </c:pt>
                <c:pt idx="90">
                  <c:v>12756.83</c:v>
                </c:pt>
                <c:pt idx="91">
                  <c:v>13484.09</c:v>
                </c:pt>
                <c:pt idx="92">
                  <c:v>14222.34</c:v>
                </c:pt>
                <c:pt idx="93">
                  <c:v>14901.74</c:v>
                </c:pt>
                <c:pt idx="94">
                  <c:v>15733.39</c:v>
                </c:pt>
                <c:pt idx="95">
                  <c:v>16729.97</c:v>
                </c:pt>
                <c:pt idx="96">
                  <c:v>17795.92</c:v>
                </c:pt>
                <c:pt idx="97">
                  <c:v>18729.47</c:v>
                </c:pt>
                <c:pt idx="98">
                  <c:v>19735.78</c:v>
                </c:pt>
                <c:pt idx="99">
                  <c:v>20467.11</c:v>
                </c:pt>
                <c:pt idx="100">
                  <c:v>21329.07</c:v>
                </c:pt>
                <c:pt idx="101">
                  <c:v>21886.39</c:v>
                </c:pt>
                <c:pt idx="102">
                  <c:v>22378.44</c:v>
                </c:pt>
                <c:pt idx="103">
                  <c:v>22906.1</c:v>
                </c:pt>
                <c:pt idx="104">
                  <c:v>23429.99</c:v>
                </c:pt>
                <c:pt idx="105">
                  <c:v>24014.55</c:v>
                </c:pt>
                <c:pt idx="106">
                  <c:v>24619.57</c:v>
                </c:pt>
                <c:pt idx="107">
                  <c:v>25320.99</c:v>
                </c:pt>
                <c:pt idx="108">
                  <c:v>26119.56</c:v>
                </c:pt>
                <c:pt idx="109">
                  <c:v>26856.12</c:v>
                </c:pt>
                <c:pt idx="110">
                  <c:v>27715.65</c:v>
                </c:pt>
                <c:pt idx="111">
                  <c:v>28597.02</c:v>
                </c:pt>
                <c:pt idx="112">
                  <c:v>29471.54</c:v>
                </c:pt>
                <c:pt idx="113">
                  <c:v>30348.32</c:v>
                </c:pt>
                <c:pt idx="114">
                  <c:v>31292.51</c:v>
                </c:pt>
                <c:pt idx="115">
                  <c:v>32225.6</c:v>
                </c:pt>
                <c:pt idx="116">
                  <c:v>33026.04</c:v>
                </c:pt>
                <c:pt idx="117">
                  <c:v>33930.78</c:v>
                </c:pt>
                <c:pt idx="118">
                  <c:v>34788.79</c:v>
                </c:pt>
                <c:pt idx="119">
                  <c:v>35812.4</c:v>
                </c:pt>
                <c:pt idx="120">
                  <c:v>36663.86</c:v>
                </c:pt>
                <c:pt idx="121">
                  <c:v>37473.72</c:v>
                </c:pt>
                <c:pt idx="122">
                  <c:v>38363.92</c:v>
                </c:pt>
                <c:pt idx="123">
                  <c:v>39208.93</c:v>
                </c:pt>
                <c:pt idx="124">
                  <c:v>40005.6</c:v>
                </c:pt>
                <c:pt idx="125">
                  <c:v>40744.79</c:v>
                </c:pt>
                <c:pt idx="126">
                  <c:v>41574.44</c:v>
                </c:pt>
                <c:pt idx="127">
                  <c:v>42296.97</c:v>
                </c:pt>
                <c:pt idx="128">
                  <c:v>42957.91</c:v>
                </c:pt>
                <c:pt idx="129">
                  <c:v>43732.56</c:v>
                </c:pt>
                <c:pt idx="130">
                  <c:v>44417.7</c:v>
                </c:pt>
                <c:pt idx="131">
                  <c:v>45146.19</c:v>
                </c:pt>
                <c:pt idx="132">
                  <c:v>45857.1</c:v>
                </c:pt>
                <c:pt idx="133">
                  <c:v>46506.6</c:v>
                </c:pt>
                <c:pt idx="134">
                  <c:v>47174.91</c:v>
                </c:pt>
                <c:pt idx="135">
                  <c:v>47892.02</c:v>
                </c:pt>
                <c:pt idx="136">
                  <c:v>48302.47</c:v>
                </c:pt>
                <c:pt idx="137">
                  <c:v>48673.27</c:v>
                </c:pt>
                <c:pt idx="138">
                  <c:v>48776.83</c:v>
                </c:pt>
                <c:pt idx="139">
                  <c:v>48776.85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4649593"/>
        <c:axId val="65682272"/>
      </c:lineChart>
      <c:catAx>
        <c:axId val="546495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682272"/>
        <c:crosses val="autoZero"/>
        <c:auto val="1"/>
        <c:lblAlgn val="ctr"/>
        <c:lblOffset val="100"/>
        <c:noMultiLvlLbl val="0"/>
      </c:catAx>
      <c:valAx>
        <c:axId val="656822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MW instalados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64959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Meses por cor de bandeira, por 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'Resumo Anual'!C4</c:f>
              <c:strCache>
                <c:ptCount val="1"/>
                <c:pt idx="0">
                  <c:v>Verde</c:v>
                </c:pt>
              </c:strCache>
            </c:strRef>
          </c:tx>
          <c:spPr>
            <a:solidFill>
              <a:srgbClr val="437A2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Anual'!$B$5:$B$16</c:f>
              <c:strCache>
                <c:ptCount val="12"/>
                <c:pt idx="0">
                  <c:v>2,015</c:v>
                </c:pt>
                <c:pt idx="1">
                  <c:v>2,016</c:v>
                </c:pt>
                <c:pt idx="2">
                  <c:v>2,017</c:v>
                </c:pt>
                <c:pt idx="3">
                  <c:v>2,018</c:v>
                </c:pt>
                <c:pt idx="4">
                  <c:v>2,019</c:v>
                </c:pt>
                <c:pt idx="5">
                  <c:v>2,020</c:v>
                </c:pt>
                <c:pt idx="6">
                  <c:v>2,021</c:v>
                </c:pt>
                <c:pt idx="7">
                  <c:v>2,022</c:v>
                </c:pt>
                <c:pt idx="8">
                  <c:v>2,023</c:v>
                </c:pt>
                <c:pt idx="9">
                  <c:v>2,024</c:v>
                </c:pt>
                <c:pt idx="10">
                  <c:v>2,025</c:v>
                </c:pt>
                <c:pt idx="11">
                  <c:v>2,026</c:v>
                </c:pt>
              </c:strCache>
            </c:strRef>
          </c:cat>
          <c:val>
            <c:numRef>
              <c:f>'Resumo Anual'!$C$5:$C$16</c:f>
              <c:numCache>
                <c:formatCode>#,##0</c:formatCode>
                <c:ptCount val="12"/>
                <c:pt idx="0">
                  <c:v>0</c:v>
                </c:pt>
                <c:pt idx="1">
                  <c:v>8</c:v>
                </c:pt>
                <c:pt idx="2">
                  <c:v>3</c:v>
                </c:pt>
                <c:pt idx="3">
                  <c:v>5</c:v>
                </c:pt>
                <c:pt idx="4">
                  <c:v>5</c:v>
                </c:pt>
                <c:pt idx="5">
                  <c:v>10</c:v>
                </c:pt>
                <c:pt idx="6">
                  <c:v>0</c:v>
                </c:pt>
                <c:pt idx="7">
                  <c:v>8</c:v>
                </c:pt>
                <c:pt idx="8">
                  <c:v>12</c:v>
                </c:pt>
                <c:pt idx="9">
                  <c:v>8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</c:ser>
        <c:ser>
          <c:idx val="1"/>
          <c:order val="1"/>
          <c:tx>
            <c:strRef>
              <c:f>'Resumo Anual'!D4</c:f>
              <c:strCache>
                <c:ptCount val="1"/>
                <c:pt idx="0">
                  <c:v>Amarela</c:v>
                </c:pt>
              </c:strCache>
            </c:strRef>
          </c:tx>
          <c:spPr>
            <a:solidFill>
              <a:srgbClr val="FFC553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Anual'!$B$5:$B$16</c:f>
              <c:strCache>
                <c:ptCount val="12"/>
                <c:pt idx="0">
                  <c:v>2,015</c:v>
                </c:pt>
                <c:pt idx="1">
                  <c:v>2,016</c:v>
                </c:pt>
                <c:pt idx="2">
                  <c:v>2,017</c:v>
                </c:pt>
                <c:pt idx="3">
                  <c:v>2,018</c:v>
                </c:pt>
                <c:pt idx="4">
                  <c:v>2,019</c:v>
                </c:pt>
                <c:pt idx="5">
                  <c:v>2,020</c:v>
                </c:pt>
                <c:pt idx="6">
                  <c:v>2,021</c:v>
                </c:pt>
                <c:pt idx="7">
                  <c:v>2,022</c:v>
                </c:pt>
                <c:pt idx="8">
                  <c:v>2,023</c:v>
                </c:pt>
                <c:pt idx="9">
                  <c:v>2,024</c:v>
                </c:pt>
                <c:pt idx="10">
                  <c:v>2,025</c:v>
                </c:pt>
                <c:pt idx="11">
                  <c:v>2,026</c:v>
                </c:pt>
              </c:strCache>
            </c:strRef>
          </c:cat>
          <c:val>
            <c:numRef>
              <c:f>'Resumo Anual'!$D$5:$D$16</c:f>
              <c:numCache>
                <c:formatCode>#,##0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</c:ser>
        <c:ser>
          <c:idx val="2"/>
          <c:order val="2"/>
          <c:tx>
            <c:strRef>
              <c:f>'Resumo Anual'!E4</c:f>
              <c:strCache>
                <c:ptCount val="1"/>
                <c:pt idx="0">
                  <c:v>Vermelha P1</c:v>
                </c:pt>
              </c:strCache>
            </c:strRef>
          </c:tx>
          <c:spPr>
            <a:solidFill>
              <a:srgbClr val="DA7101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Anual'!$B$5:$B$16</c:f>
              <c:strCache>
                <c:ptCount val="12"/>
                <c:pt idx="0">
                  <c:v>2,015</c:v>
                </c:pt>
                <c:pt idx="1">
                  <c:v>2,016</c:v>
                </c:pt>
                <c:pt idx="2">
                  <c:v>2,017</c:v>
                </c:pt>
                <c:pt idx="3">
                  <c:v>2,018</c:v>
                </c:pt>
                <c:pt idx="4">
                  <c:v>2,019</c:v>
                </c:pt>
                <c:pt idx="5">
                  <c:v>2,020</c:v>
                </c:pt>
                <c:pt idx="6">
                  <c:v>2,021</c:v>
                </c:pt>
                <c:pt idx="7">
                  <c:v>2,022</c:v>
                </c:pt>
                <c:pt idx="8">
                  <c:v>2,023</c:v>
                </c:pt>
                <c:pt idx="9">
                  <c:v>2,024</c:v>
                </c:pt>
                <c:pt idx="10">
                  <c:v>2,025</c:v>
                </c:pt>
                <c:pt idx="11">
                  <c:v>2,026</c:v>
                </c:pt>
              </c:strCache>
            </c:strRef>
          </c:cat>
          <c:val>
            <c:numRef>
              <c:f>'Resumo Anual'!$E$5:$E$16</c:f>
              <c:numCache>
                <c:formatCode>#,##0</c:formatCode>
                <c:ptCount val="12"/>
                <c:pt idx="0">
                  <c:v>12</c:v>
                </c:pt>
                <c:pt idx="1">
                  <c:v>1</c:v>
                </c:pt>
                <c:pt idx="2">
                  <c:v>4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'Resumo Anual'!F4</c:f>
              <c:strCache>
                <c:ptCount val="1"/>
                <c:pt idx="0">
                  <c:v>Vermelha P2</c:v>
                </c:pt>
              </c:strCache>
            </c:strRef>
          </c:tx>
          <c:spPr>
            <a:solidFill>
              <a:srgbClr val="A13544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Anual'!$B$5:$B$16</c:f>
              <c:strCache>
                <c:ptCount val="12"/>
                <c:pt idx="0">
                  <c:v>2,015</c:v>
                </c:pt>
                <c:pt idx="1">
                  <c:v>2,016</c:v>
                </c:pt>
                <c:pt idx="2">
                  <c:v>2,017</c:v>
                </c:pt>
                <c:pt idx="3">
                  <c:v>2,018</c:v>
                </c:pt>
                <c:pt idx="4">
                  <c:v>2,019</c:v>
                </c:pt>
                <c:pt idx="5">
                  <c:v>2,020</c:v>
                </c:pt>
                <c:pt idx="6">
                  <c:v>2,021</c:v>
                </c:pt>
                <c:pt idx="7">
                  <c:v>2,022</c:v>
                </c:pt>
                <c:pt idx="8">
                  <c:v>2,023</c:v>
                </c:pt>
                <c:pt idx="9">
                  <c:v>2,024</c:v>
                </c:pt>
                <c:pt idx="10">
                  <c:v>2,025</c:v>
                </c:pt>
                <c:pt idx="11">
                  <c:v>2,026</c:v>
                </c:pt>
              </c:strCache>
            </c:strRef>
          </c:cat>
          <c:val>
            <c:numRef>
              <c:f>'Resumo Anual'!$F$5:$F$16</c:f>
              <c:numCache>
                <c:formatCode>#,##0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</c:ser>
        <c:ser>
          <c:idx val="4"/>
          <c:order val="4"/>
          <c:tx>
            <c:strRef>
              <c:f>'Resumo Anual'!G4</c:f>
              <c:strCache>
                <c:ptCount val="1"/>
                <c:pt idx="0">
                  <c:v>Escassez Hídrica</c:v>
                </c:pt>
              </c:strCache>
            </c:strRef>
          </c:tx>
          <c:spPr>
            <a:solidFill>
              <a:srgbClr val="6E522B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Anual'!$B$5:$B$16</c:f>
              <c:strCache>
                <c:ptCount val="12"/>
                <c:pt idx="0">
                  <c:v>2,015</c:v>
                </c:pt>
                <c:pt idx="1">
                  <c:v>2,016</c:v>
                </c:pt>
                <c:pt idx="2">
                  <c:v>2,017</c:v>
                </c:pt>
                <c:pt idx="3">
                  <c:v>2,018</c:v>
                </c:pt>
                <c:pt idx="4">
                  <c:v>2,019</c:v>
                </c:pt>
                <c:pt idx="5">
                  <c:v>2,020</c:v>
                </c:pt>
                <c:pt idx="6">
                  <c:v>2,021</c:v>
                </c:pt>
                <c:pt idx="7">
                  <c:v>2,022</c:v>
                </c:pt>
                <c:pt idx="8">
                  <c:v>2,023</c:v>
                </c:pt>
                <c:pt idx="9">
                  <c:v>2,024</c:v>
                </c:pt>
                <c:pt idx="10">
                  <c:v>2,025</c:v>
                </c:pt>
                <c:pt idx="11">
                  <c:v>2,026</c:v>
                </c:pt>
              </c:strCache>
            </c:strRef>
          </c:cat>
          <c:val>
            <c:numRef>
              <c:f>'Resumo Anual'!$G$5:$G$16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100"/>
        <c:axId val="6074223"/>
        <c:axId val="56047983"/>
      </c:barChart>
      <c:catAx>
        <c:axId val="6074223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047983"/>
        <c:crosses val="autoZero"/>
        <c:auto val="1"/>
        <c:lblAlgn val="ctr"/>
        <c:lblOffset val="100"/>
        <c:noMultiLvlLbl val="0"/>
      </c:catAx>
      <c:valAx>
        <c:axId val="560479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Meses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7422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Correlação com o nível da bandeira (série completa)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Correlações!C4</c:f>
              <c:strCache>
                <c:ptCount val="1"/>
                <c:pt idx="0">
                  <c:v>Correlação (r)</c:v>
                </c:pt>
              </c:strCache>
            </c:strRef>
          </c:tx>
          <c:spPr>
            <a:solidFill>
              <a:srgbClr val="20808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Correlações!$B$5:$B$10</c:f>
              <c:strCache>
                <c:ptCount val="6"/>
                <c:pt idx="0">
                  <c:v>ENA Nacional (% MLT)</c:v>
                </c:pt>
                <c:pt idx="1">
                  <c:v>ENA Sudeste/CO (% MLT)</c:v>
                </c:pt>
                <c:pt idx="2">
                  <c:v>ENA Nordeste (% MLT)</c:v>
                </c:pt>
                <c:pt idx="3">
                  <c:v>ENA Norte (% MLT)</c:v>
                </c:pt>
                <c:pt idx="4">
                  <c:v>ENA Sul (% MLT)</c:v>
                </c:pt>
                <c:pt idx="5">
                  <c:v>Cresc. Solar MoM (%)</c:v>
                </c:pt>
              </c:strCache>
            </c:strRef>
          </c:cat>
          <c:val>
            <c:numRef>
              <c:f>Correlações!$C$5:$C$10</c:f>
              <c:numCache>
                <c:formatCode>0.00</c:formatCode>
                <c:ptCount val="6"/>
                <c:pt idx="0">
                  <c:v>-0.0950786207887402</c:v>
                </c:pt>
                <c:pt idx="1">
                  <c:v>-0.0368927847926103</c:v>
                </c:pt>
                <c:pt idx="2">
                  <c:v>-0.00986577679440458</c:v>
                </c:pt>
                <c:pt idx="3">
                  <c:v>0.098744194466256</c:v>
                </c:pt>
                <c:pt idx="4">
                  <c:v>-0.133042450112318</c:v>
                </c:pt>
                <c:pt idx="5">
                  <c:v>0.118106209015393</c:v>
                </c:pt>
              </c:numCache>
            </c:numRef>
          </c:val>
        </c:ser>
        <c:gapWidth val="150"/>
        <c:overlap val="0"/>
        <c:axId val="89282995"/>
        <c:axId val="15503036"/>
      </c:barChart>
      <c:catAx>
        <c:axId val="8928299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Coeficiente de correlação (r)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503036"/>
        <c:crosses val="autoZero"/>
        <c:auto val="1"/>
        <c:lblAlgn val="ctr"/>
        <c:lblOffset val="100"/>
        <c:noMultiLvlLbl val="0"/>
      </c:catAx>
      <c:valAx>
        <c:axId val="155030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28299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</xdr:row>
      <xdr:rowOff>0</xdr:rowOff>
    </xdr:from>
    <xdr:to>
      <xdr:col>15</xdr:col>
      <xdr:colOff>78480</xdr:colOff>
      <xdr:row>23</xdr:row>
      <xdr:rowOff>170640</xdr:rowOff>
    </xdr:to>
    <xdr:graphicFrame>
      <xdr:nvGraphicFramePr>
        <xdr:cNvPr id="1" name="Chart 1"/>
        <xdr:cNvGraphicFramePr/>
      </xdr:nvGraphicFramePr>
      <xdr:xfrm>
        <a:off x="211320" y="104220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26</xdr:row>
      <xdr:rowOff>0</xdr:rowOff>
    </xdr:from>
    <xdr:to>
      <xdr:col>15</xdr:col>
      <xdr:colOff>78480</xdr:colOff>
      <xdr:row>44</xdr:row>
      <xdr:rowOff>170640</xdr:rowOff>
    </xdr:to>
    <xdr:graphicFrame>
      <xdr:nvGraphicFramePr>
        <xdr:cNvPr id="2" name="Chart 2"/>
        <xdr:cNvGraphicFramePr/>
      </xdr:nvGraphicFramePr>
      <xdr:xfrm>
        <a:off x="211320" y="504252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47</xdr:row>
      <xdr:rowOff>0</xdr:rowOff>
    </xdr:from>
    <xdr:to>
      <xdr:col>15</xdr:col>
      <xdr:colOff>78480</xdr:colOff>
      <xdr:row>65</xdr:row>
      <xdr:rowOff>170640</xdr:rowOff>
    </xdr:to>
    <xdr:graphicFrame>
      <xdr:nvGraphicFramePr>
        <xdr:cNvPr id="3" name="Chart 3"/>
        <xdr:cNvGraphicFramePr/>
      </xdr:nvGraphicFramePr>
      <xdr:xfrm>
        <a:off x="211320" y="904320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68</xdr:row>
      <xdr:rowOff>0</xdr:rowOff>
    </xdr:from>
    <xdr:to>
      <xdr:col>15</xdr:col>
      <xdr:colOff>78480</xdr:colOff>
      <xdr:row>88</xdr:row>
      <xdr:rowOff>149760</xdr:rowOff>
    </xdr:to>
    <xdr:graphicFrame>
      <xdr:nvGraphicFramePr>
        <xdr:cNvPr id="4" name="Chart 4"/>
        <xdr:cNvGraphicFramePr/>
      </xdr:nvGraphicFramePr>
      <xdr:xfrm>
        <a:off x="211320" y="1304352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90</xdr:row>
      <xdr:rowOff>0</xdr:rowOff>
    </xdr:from>
    <xdr:to>
      <xdr:col>15</xdr:col>
      <xdr:colOff>78480</xdr:colOff>
      <xdr:row>108</xdr:row>
      <xdr:rowOff>170640</xdr:rowOff>
    </xdr:to>
    <xdr:graphicFrame>
      <xdr:nvGraphicFramePr>
        <xdr:cNvPr id="5" name="Chart 5"/>
        <xdr:cNvGraphicFramePr/>
      </xdr:nvGraphicFramePr>
      <xdr:xfrm>
        <a:off x="211320" y="1723464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1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1" min="10" style="0" width="15"/>
    <col collapsed="false" customWidth="true" hidden="false" outlineLevel="0" max="12" min="12" style="0" width="14"/>
    <col collapsed="false" customWidth="true" hidden="false" outlineLevel="0" max="14" min="13" style="0" width="16"/>
    <col collapsed="false" customWidth="true" hidden="false" outlineLevel="0" max="15" min="15" style="0" width="15"/>
    <col collapsed="false" customWidth="true" hidden="false" outlineLevel="0" max="16" min="16" style="0" width="8"/>
    <col collapsed="false" customWidth="true" hidden="false" outlineLevel="0" max="17" min="17" style="0" width="15"/>
  </cols>
  <sheetData>
    <row r="2" customFormat="false" ht="41.75" hidden="false" customHeight="false" outlineLevel="0" collapsed="false"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 customFormat="false" ht="15" hidden="false" customHeight="false" outlineLevel="0" collapsed="false">
      <c r="B3" s="4" t="s">
        <v>18</v>
      </c>
      <c r="C3" s="4" t="s">
        <v>19</v>
      </c>
      <c r="D3" s="5" t="n">
        <v>2</v>
      </c>
      <c r="E3" s="6" t="n">
        <v>28.43</v>
      </c>
      <c r="F3" s="6" t="n">
        <v>60.66</v>
      </c>
      <c r="G3" s="6" t="n">
        <v>39.98</v>
      </c>
      <c r="H3" s="6" t="n">
        <v>206.99</v>
      </c>
      <c r="I3" s="7" t="n">
        <v>1480005</v>
      </c>
      <c r="J3" s="6" t="n">
        <v>84.01</v>
      </c>
      <c r="K3" s="8" t="n">
        <v>54</v>
      </c>
      <c r="L3" s="7" t="n">
        <v>419.2</v>
      </c>
      <c r="M3" s="7" t="n">
        <v>5231.6</v>
      </c>
      <c r="N3" s="9" t="n">
        <v>5.23</v>
      </c>
      <c r="O3" s="8" t="n">
        <v>497</v>
      </c>
      <c r="P3" s="10" t="n">
        <f aca="false">VALUE(LEFT(B3,4))</f>
        <v>2015</v>
      </c>
      <c r="Q3" s="6"/>
    </row>
    <row r="4" customFormat="false" ht="15" hidden="false" customHeight="false" outlineLevel="0" collapsed="false">
      <c r="B4" s="4" t="s">
        <v>20</v>
      </c>
      <c r="C4" s="4" t="s">
        <v>19</v>
      </c>
      <c r="D4" s="5" t="n">
        <v>2</v>
      </c>
      <c r="E4" s="6" t="n">
        <v>29.22</v>
      </c>
      <c r="F4" s="6" t="n">
        <v>56.54</v>
      </c>
      <c r="G4" s="6" t="n">
        <v>59.78</v>
      </c>
      <c r="H4" s="6" t="n">
        <v>138.66</v>
      </c>
      <c r="I4" s="7" t="n">
        <v>1623730</v>
      </c>
      <c r="J4" s="6" t="n">
        <v>71.05</v>
      </c>
      <c r="K4" s="8" t="n">
        <v>34</v>
      </c>
      <c r="L4" s="7" t="n">
        <v>350.9</v>
      </c>
      <c r="M4" s="7" t="n">
        <v>5582.5</v>
      </c>
      <c r="N4" s="9" t="n">
        <v>5.58</v>
      </c>
      <c r="O4" s="8" t="n">
        <v>531</v>
      </c>
      <c r="P4" s="10" t="n">
        <f aca="false">VALUE(LEFT(B4,4))</f>
        <v>2015</v>
      </c>
      <c r="Q4" s="6" t="n">
        <f aca="false">IF(N3=0,"",(N4-N3)/N3*100)</f>
        <v>6.69216061185468</v>
      </c>
    </row>
    <row r="5" customFormat="false" ht="15" hidden="false" customHeight="false" outlineLevel="0" collapsed="false">
      <c r="B5" s="4" t="s">
        <v>21</v>
      </c>
      <c r="C5" s="4" t="s">
        <v>19</v>
      </c>
      <c r="D5" s="5" t="n">
        <v>2</v>
      </c>
      <c r="E5" s="6" t="n">
        <v>39.49</v>
      </c>
      <c r="F5" s="6" t="n">
        <v>69.73</v>
      </c>
      <c r="G5" s="6" t="n">
        <v>78.88</v>
      </c>
      <c r="H5" s="6" t="n">
        <v>112.41</v>
      </c>
      <c r="I5" s="7" t="n">
        <v>2086250</v>
      </c>
      <c r="J5" s="6" t="n">
        <v>75.13</v>
      </c>
      <c r="K5" s="8" t="n">
        <v>48</v>
      </c>
      <c r="L5" s="7" t="n">
        <v>236.1</v>
      </c>
      <c r="M5" s="7" t="n">
        <v>5818.6</v>
      </c>
      <c r="N5" s="9" t="n">
        <v>5.82</v>
      </c>
      <c r="O5" s="8" t="n">
        <v>579</v>
      </c>
      <c r="P5" s="10" t="n">
        <f aca="false">VALUE(LEFT(B5,4))</f>
        <v>2015</v>
      </c>
      <c r="Q5" s="6" t="n">
        <f aca="false">IF(N4=0,"",(N5-N4)/N4*100)</f>
        <v>4.30107526881721</v>
      </c>
    </row>
    <row r="6" customFormat="false" ht="15" hidden="false" customHeight="false" outlineLevel="0" collapsed="false">
      <c r="B6" s="4" t="s">
        <v>22</v>
      </c>
      <c r="C6" s="4" t="s">
        <v>19</v>
      </c>
      <c r="D6" s="5" t="n">
        <v>2</v>
      </c>
      <c r="E6" s="6" t="n">
        <v>58.02</v>
      </c>
      <c r="F6" s="6" t="n">
        <v>82.96</v>
      </c>
      <c r="G6" s="6" t="n">
        <v>89.49</v>
      </c>
      <c r="H6" s="6" t="n">
        <v>106.19</v>
      </c>
      <c r="I6" s="7" t="n">
        <v>1903752</v>
      </c>
      <c r="J6" s="6" t="n">
        <v>84.17</v>
      </c>
      <c r="K6" s="8" t="n">
        <v>55</v>
      </c>
      <c r="L6" s="7" t="n">
        <v>313.1</v>
      </c>
      <c r="M6" s="7" t="n">
        <v>6131.7</v>
      </c>
      <c r="N6" s="9" t="n">
        <v>6.13</v>
      </c>
      <c r="O6" s="8" t="n">
        <v>634</v>
      </c>
      <c r="P6" s="10" t="n">
        <f aca="false">VALUE(LEFT(B6,4))</f>
        <v>2015</v>
      </c>
      <c r="Q6" s="6" t="n">
        <f aca="false">IF(N5=0,"",(N6-N5)/N5*100)</f>
        <v>5.32646048109965</v>
      </c>
    </row>
    <row r="7" customFormat="false" ht="15" hidden="false" customHeight="false" outlineLevel="0" collapsed="false">
      <c r="B7" s="4" t="s">
        <v>23</v>
      </c>
      <c r="C7" s="4" t="s">
        <v>19</v>
      </c>
      <c r="D7" s="5" t="n">
        <v>2</v>
      </c>
      <c r="E7" s="6" t="n">
        <v>60.36</v>
      </c>
      <c r="F7" s="6" t="n">
        <v>111.01</v>
      </c>
      <c r="G7" s="6" t="n">
        <v>100.18</v>
      </c>
      <c r="H7" s="6" t="n">
        <v>78.03</v>
      </c>
      <c r="I7" s="7" t="n">
        <v>1628514</v>
      </c>
      <c r="J7" s="6" t="n">
        <v>87.39</v>
      </c>
      <c r="K7" s="8" t="n">
        <v>89</v>
      </c>
      <c r="L7" s="7" t="n">
        <v>578</v>
      </c>
      <c r="M7" s="7" t="n">
        <v>6709.6</v>
      </c>
      <c r="N7" s="9" t="n">
        <v>6.71</v>
      </c>
      <c r="O7" s="8" t="n">
        <v>723</v>
      </c>
      <c r="P7" s="10" t="n">
        <f aca="false">VALUE(LEFT(B7,4))</f>
        <v>2015</v>
      </c>
      <c r="Q7" s="6" t="n">
        <f aca="false">IF(N6=0,"",(N7-N6)/N6*100)</f>
        <v>9.46166394779772</v>
      </c>
    </row>
    <row r="8" customFormat="false" ht="15" hidden="false" customHeight="false" outlineLevel="0" collapsed="false">
      <c r="B8" s="4" t="s">
        <v>24</v>
      </c>
      <c r="C8" s="4" t="s">
        <v>19</v>
      </c>
      <c r="D8" s="5" t="n">
        <v>2</v>
      </c>
      <c r="E8" s="6" t="n">
        <v>54.74</v>
      </c>
      <c r="F8" s="6" t="n">
        <v>97.56</v>
      </c>
      <c r="G8" s="6" t="n">
        <v>89</v>
      </c>
      <c r="H8" s="6" t="n">
        <v>130.92</v>
      </c>
      <c r="I8" s="7" t="n">
        <v>1337017</v>
      </c>
      <c r="J8" s="6" t="n">
        <v>93.06</v>
      </c>
      <c r="K8" s="8" t="n">
        <v>55</v>
      </c>
      <c r="L8" s="7" t="n">
        <v>473.5</v>
      </c>
      <c r="M8" s="7" t="n">
        <v>7183.1</v>
      </c>
      <c r="N8" s="9" t="n">
        <v>7.18</v>
      </c>
      <c r="O8" s="8" t="n">
        <v>778</v>
      </c>
      <c r="P8" s="10" t="n">
        <f aca="false">VALUE(LEFT(B8,4))</f>
        <v>2015</v>
      </c>
      <c r="Q8" s="6" t="n">
        <f aca="false">IF(N7=0,"",(N8-N7)/N7*100)</f>
        <v>7.00447093889716</v>
      </c>
    </row>
    <row r="9" customFormat="false" ht="15" hidden="false" customHeight="false" outlineLevel="0" collapsed="false">
      <c r="B9" s="4" t="s">
        <v>25</v>
      </c>
      <c r="C9" s="4" t="s">
        <v>19</v>
      </c>
      <c r="D9" s="5" t="n">
        <v>2</v>
      </c>
      <c r="E9" s="6" t="n">
        <v>51.79</v>
      </c>
      <c r="F9" s="6" t="n">
        <v>84.65</v>
      </c>
      <c r="G9" s="6" t="n">
        <v>132.98</v>
      </c>
      <c r="H9" s="6" t="n">
        <v>254.76</v>
      </c>
      <c r="I9" s="7" t="n">
        <v>1903079</v>
      </c>
      <c r="J9" s="6" t="n">
        <v>131.04</v>
      </c>
      <c r="K9" s="8" t="n">
        <v>107</v>
      </c>
      <c r="L9" s="7" t="n">
        <v>1165.3</v>
      </c>
      <c r="M9" s="7" t="n">
        <v>8348.4</v>
      </c>
      <c r="N9" s="9" t="n">
        <v>8.35</v>
      </c>
      <c r="O9" s="8" t="n">
        <v>885</v>
      </c>
      <c r="P9" s="10" t="n">
        <f aca="false">VALUE(LEFT(B9,4))</f>
        <v>2015</v>
      </c>
      <c r="Q9" s="6" t="n">
        <f aca="false">IF(N8=0,"",(N9-N8)/N8*100)</f>
        <v>16.2952646239554</v>
      </c>
    </row>
    <row r="10" customFormat="false" ht="15" hidden="false" customHeight="false" outlineLevel="0" collapsed="false">
      <c r="B10" s="4" t="s">
        <v>26</v>
      </c>
      <c r="C10" s="4" t="s">
        <v>19</v>
      </c>
      <c r="D10" s="5" t="n">
        <v>2</v>
      </c>
      <c r="E10" s="6" t="n">
        <v>51.24</v>
      </c>
      <c r="F10" s="6" t="n">
        <v>77.6</v>
      </c>
      <c r="G10" s="6" t="n">
        <v>90.43</v>
      </c>
      <c r="H10" s="6" t="n">
        <v>79.99</v>
      </c>
      <c r="I10" s="7" t="n">
        <v>861964</v>
      </c>
      <c r="J10" s="6" t="n">
        <v>74.82</v>
      </c>
      <c r="K10" s="8" t="n">
        <v>125</v>
      </c>
      <c r="L10" s="7" t="n">
        <v>573.4</v>
      </c>
      <c r="M10" s="7" t="n">
        <v>8921.7</v>
      </c>
      <c r="N10" s="9" t="n">
        <v>8.92</v>
      </c>
      <c r="O10" s="8" t="n">
        <v>1010</v>
      </c>
      <c r="P10" s="10" t="n">
        <f aca="false">VALUE(LEFT(B10,4))</f>
        <v>2015</v>
      </c>
      <c r="Q10" s="6" t="n">
        <f aca="false">IF(N9=0,"",(N10-N9)/N9*100)</f>
        <v>6.82634730538923</v>
      </c>
    </row>
    <row r="11" customFormat="false" ht="15" hidden="false" customHeight="false" outlineLevel="0" collapsed="false">
      <c r="B11" s="4" t="s">
        <v>27</v>
      </c>
      <c r="C11" s="4" t="s">
        <v>19</v>
      </c>
      <c r="D11" s="5" t="n">
        <v>2</v>
      </c>
      <c r="E11" s="6" t="n">
        <v>45.78</v>
      </c>
      <c r="F11" s="6" t="n">
        <v>66</v>
      </c>
      <c r="G11" s="6" t="n">
        <v>119.28</v>
      </c>
      <c r="H11" s="6" t="n">
        <v>114.63</v>
      </c>
      <c r="I11" s="7" t="n">
        <v>1115125</v>
      </c>
      <c r="J11" s="6" t="n">
        <v>86.42</v>
      </c>
      <c r="K11" s="8" t="n">
        <v>128</v>
      </c>
      <c r="L11" s="7" t="n">
        <v>1044.8</v>
      </c>
      <c r="M11" s="7" t="n">
        <v>9966.5</v>
      </c>
      <c r="N11" s="9" t="n">
        <v>9.97</v>
      </c>
      <c r="O11" s="8" t="n">
        <v>1138</v>
      </c>
      <c r="P11" s="10" t="n">
        <f aca="false">VALUE(LEFT(B11,4))</f>
        <v>2015</v>
      </c>
      <c r="Q11" s="6" t="n">
        <f aca="false">IF(N10=0,"",(N11-N10)/N10*100)</f>
        <v>11.7713004484305</v>
      </c>
    </row>
    <row r="12" customFormat="false" ht="15" hidden="false" customHeight="false" outlineLevel="0" collapsed="false">
      <c r="B12" s="4" t="s">
        <v>28</v>
      </c>
      <c r="C12" s="4" t="s">
        <v>19</v>
      </c>
      <c r="D12" s="5" t="n">
        <v>2</v>
      </c>
      <c r="E12" s="6" t="n">
        <v>31.81</v>
      </c>
      <c r="F12" s="6" t="n">
        <v>62.15</v>
      </c>
      <c r="G12" s="6" t="n">
        <v>94.46</v>
      </c>
      <c r="H12" s="6" t="n">
        <v>227.06</v>
      </c>
      <c r="I12" s="7" t="n">
        <v>1636638</v>
      </c>
      <c r="J12" s="6" t="n">
        <v>103.87</v>
      </c>
      <c r="K12" s="8" t="n">
        <v>155</v>
      </c>
      <c r="L12" s="7" t="n">
        <v>909.6</v>
      </c>
      <c r="M12" s="7" t="n">
        <v>10876.1</v>
      </c>
      <c r="N12" s="9" t="n">
        <v>10.88</v>
      </c>
      <c r="O12" s="8" t="n">
        <v>1293</v>
      </c>
      <c r="P12" s="10" t="n">
        <f aca="false">VALUE(LEFT(B12,4))</f>
        <v>2015</v>
      </c>
      <c r="Q12" s="6" t="n">
        <f aca="false">IF(N11=0,"",(N12-N11)/N11*100)</f>
        <v>9.12738214643932</v>
      </c>
    </row>
    <row r="13" customFormat="false" ht="15" hidden="false" customHeight="false" outlineLevel="0" collapsed="false">
      <c r="B13" s="4" t="s">
        <v>29</v>
      </c>
      <c r="C13" s="4" t="s">
        <v>19</v>
      </c>
      <c r="D13" s="5" t="n">
        <v>2</v>
      </c>
      <c r="E13" s="6" t="n">
        <v>19.61</v>
      </c>
      <c r="F13" s="6" t="n">
        <v>47.98</v>
      </c>
      <c r="G13" s="6" t="n">
        <v>118.17</v>
      </c>
      <c r="H13" s="6" t="n">
        <v>199.93</v>
      </c>
      <c r="I13" s="7" t="n">
        <v>1602088</v>
      </c>
      <c r="J13" s="6" t="n">
        <v>96.42</v>
      </c>
      <c r="K13" s="8" t="n">
        <v>174</v>
      </c>
      <c r="L13" s="7" t="n">
        <v>2261.9</v>
      </c>
      <c r="M13" s="7" t="n">
        <v>13138</v>
      </c>
      <c r="N13" s="9" t="n">
        <v>13.14</v>
      </c>
      <c r="O13" s="8" t="n">
        <v>1467</v>
      </c>
      <c r="P13" s="10" t="n">
        <f aca="false">VALUE(LEFT(B13,4))</f>
        <v>2015</v>
      </c>
      <c r="Q13" s="6" t="n">
        <f aca="false">IF(N12=0,"",(N13-N12)/N12*100)</f>
        <v>20.7720588235294</v>
      </c>
    </row>
    <row r="14" customFormat="false" ht="15" hidden="false" customHeight="false" outlineLevel="0" collapsed="false">
      <c r="B14" s="4" t="s">
        <v>30</v>
      </c>
      <c r="C14" s="4" t="s">
        <v>19</v>
      </c>
      <c r="D14" s="5" t="n">
        <v>2</v>
      </c>
      <c r="E14" s="6" t="n">
        <v>31.85</v>
      </c>
      <c r="F14" s="6" t="n">
        <v>27.35</v>
      </c>
      <c r="G14" s="6" t="n">
        <v>102.8</v>
      </c>
      <c r="H14" s="6" t="n">
        <v>286.96</v>
      </c>
      <c r="I14" s="7" t="n">
        <v>2149665</v>
      </c>
      <c r="J14" s="6" t="n">
        <v>112.24</v>
      </c>
      <c r="K14" s="8" t="n">
        <v>254</v>
      </c>
      <c r="L14" s="7" t="n">
        <v>1709.2</v>
      </c>
      <c r="M14" s="7" t="n">
        <v>14847.2</v>
      </c>
      <c r="N14" s="9" t="n">
        <v>14.85</v>
      </c>
      <c r="O14" s="8" t="n">
        <v>1721</v>
      </c>
      <c r="P14" s="10" t="n">
        <f aca="false">VALUE(LEFT(B14,4))</f>
        <v>2015</v>
      </c>
      <c r="Q14" s="6" t="n">
        <f aca="false">IF(N13=0,"",(N14-N13)/N13*100)</f>
        <v>13.013698630137</v>
      </c>
    </row>
    <row r="15" customFormat="false" ht="15" hidden="false" customHeight="false" outlineLevel="0" collapsed="false">
      <c r="B15" s="4" t="s">
        <v>31</v>
      </c>
      <c r="C15" s="4" t="s">
        <v>19</v>
      </c>
      <c r="D15" s="5" t="n">
        <v>2</v>
      </c>
      <c r="E15" s="6" t="n">
        <v>53.15</v>
      </c>
      <c r="F15" s="6" t="n">
        <v>50.74</v>
      </c>
      <c r="G15" s="6" t="n">
        <v>127.75</v>
      </c>
      <c r="H15" s="6" t="n">
        <v>197.94</v>
      </c>
      <c r="I15" s="7" t="n">
        <v>3322484</v>
      </c>
      <c r="J15" s="6" t="n">
        <v>107.39</v>
      </c>
      <c r="K15" s="8" t="n">
        <v>263</v>
      </c>
      <c r="L15" s="7" t="n">
        <v>1852.5</v>
      </c>
      <c r="M15" s="7" t="n">
        <v>16699.7</v>
      </c>
      <c r="N15" s="9" t="n">
        <v>16.7</v>
      </c>
      <c r="O15" s="8" t="n">
        <v>1984</v>
      </c>
      <c r="P15" s="10" t="n">
        <f aca="false">VALUE(LEFT(B15,4))</f>
        <v>2016</v>
      </c>
      <c r="Q15" s="6" t="n">
        <f aca="false">IF(N14=0,"",(N15-N14)/N14*100)</f>
        <v>12.4579124579125</v>
      </c>
    </row>
    <row r="16" customFormat="false" ht="15" hidden="false" customHeight="false" outlineLevel="0" collapsed="false">
      <c r="B16" s="4" t="s">
        <v>32</v>
      </c>
      <c r="C16" s="4" t="s">
        <v>33</v>
      </c>
      <c r="D16" s="5" t="n">
        <v>3</v>
      </c>
      <c r="E16" s="6" t="n">
        <v>94.87</v>
      </c>
      <c r="F16" s="6" t="n">
        <v>69.29</v>
      </c>
      <c r="G16" s="6" t="n">
        <v>87.48</v>
      </c>
      <c r="H16" s="6" t="n">
        <v>164</v>
      </c>
      <c r="I16" s="7" t="n">
        <v>2767671</v>
      </c>
      <c r="J16" s="6" t="n">
        <v>103.91</v>
      </c>
      <c r="K16" s="8" t="n">
        <v>325</v>
      </c>
      <c r="L16" s="7" t="n">
        <v>1917.6</v>
      </c>
      <c r="M16" s="7" t="n">
        <v>18617.3</v>
      </c>
      <c r="N16" s="9" t="n">
        <v>18.62</v>
      </c>
      <c r="O16" s="8" t="n">
        <v>2309</v>
      </c>
      <c r="P16" s="10" t="n">
        <f aca="false">VALUE(LEFT(B16,4))</f>
        <v>2016</v>
      </c>
      <c r="Q16" s="6" t="n">
        <f aca="false">IF(N15=0,"",(N16-N15)/N15*100)</f>
        <v>11.497005988024</v>
      </c>
    </row>
    <row r="17" customFormat="false" ht="15" hidden="false" customHeight="false" outlineLevel="0" collapsed="false">
      <c r="B17" s="4" t="s">
        <v>34</v>
      </c>
      <c r="C17" s="4" t="s">
        <v>35</v>
      </c>
      <c r="D17" s="5" t="n">
        <v>1</v>
      </c>
      <c r="E17" s="6" t="n">
        <v>33.75</v>
      </c>
      <c r="F17" s="6" t="n">
        <v>56.59</v>
      </c>
      <c r="G17" s="6" t="n">
        <v>99.44</v>
      </c>
      <c r="H17" s="6" t="n">
        <v>208.27</v>
      </c>
      <c r="I17" s="7" t="n">
        <v>2885754</v>
      </c>
      <c r="J17" s="6" t="n">
        <v>99.51</v>
      </c>
      <c r="K17" s="8" t="n">
        <v>405</v>
      </c>
      <c r="L17" s="7" t="n">
        <v>2530.1</v>
      </c>
      <c r="M17" s="7" t="n">
        <v>21147.4</v>
      </c>
      <c r="N17" s="9" t="n">
        <v>21.15</v>
      </c>
      <c r="O17" s="8" t="n">
        <v>2714</v>
      </c>
      <c r="P17" s="10" t="n">
        <f aca="false">VALUE(LEFT(B17,4))</f>
        <v>2016</v>
      </c>
      <c r="Q17" s="6" t="n">
        <f aca="false">IF(N16=0,"",(N17-N16)/N16*100)</f>
        <v>13.5875402792696</v>
      </c>
    </row>
    <row r="18" customFormat="false" ht="15" hidden="false" customHeight="false" outlineLevel="0" collapsed="false">
      <c r="B18" s="4" t="s">
        <v>36</v>
      </c>
      <c r="C18" s="4" t="s">
        <v>37</v>
      </c>
      <c r="D18" s="5" t="n">
        <v>0</v>
      </c>
      <c r="E18" s="6" t="n">
        <v>23.46</v>
      </c>
      <c r="F18" s="6" t="n">
        <v>50.22</v>
      </c>
      <c r="G18" s="6" t="n">
        <v>72.75</v>
      </c>
      <c r="H18" s="6" t="n">
        <v>145.92</v>
      </c>
      <c r="I18" s="7" t="n">
        <v>1731208</v>
      </c>
      <c r="J18" s="6" t="n">
        <v>73.09</v>
      </c>
      <c r="K18" s="8" t="n">
        <v>397</v>
      </c>
      <c r="L18" s="7" t="n">
        <v>2582.8</v>
      </c>
      <c r="M18" s="7" t="n">
        <v>23730.3</v>
      </c>
      <c r="N18" s="9" t="n">
        <v>23.73</v>
      </c>
      <c r="O18" s="8" t="n">
        <v>3111</v>
      </c>
      <c r="P18" s="10" t="n">
        <f aca="false">VALUE(LEFT(B18,4))</f>
        <v>2016</v>
      </c>
      <c r="Q18" s="6" t="n">
        <f aca="false">IF(N17=0,"",(N18-N17)/N17*100)</f>
        <v>12.1985815602837</v>
      </c>
    </row>
    <row r="19" customFormat="false" ht="15" hidden="false" customHeight="false" outlineLevel="0" collapsed="false">
      <c r="B19" s="4" t="s">
        <v>38</v>
      </c>
      <c r="C19" s="4" t="s">
        <v>37</v>
      </c>
      <c r="D19" s="5" t="n">
        <v>0</v>
      </c>
      <c r="E19" s="6" t="n">
        <v>23.57</v>
      </c>
      <c r="F19" s="6" t="n">
        <v>39.05</v>
      </c>
      <c r="G19" s="6" t="n">
        <v>89.62</v>
      </c>
      <c r="H19" s="6" t="n">
        <v>125.32</v>
      </c>
      <c r="I19" s="7" t="n">
        <v>1568593</v>
      </c>
      <c r="J19" s="6" t="n">
        <v>69.39</v>
      </c>
      <c r="K19" s="8" t="n">
        <v>521</v>
      </c>
      <c r="L19" s="7" t="n">
        <v>3422.8</v>
      </c>
      <c r="M19" s="7" t="n">
        <v>27153</v>
      </c>
      <c r="N19" s="9" t="n">
        <v>27.15</v>
      </c>
      <c r="O19" s="8" t="n">
        <v>3632</v>
      </c>
      <c r="P19" s="10" t="n">
        <f aca="false">VALUE(LEFT(B19,4))</f>
        <v>2016</v>
      </c>
      <c r="Q19" s="6" t="n">
        <f aca="false">IF(N18=0,"",(N19-N18)/N18*100)</f>
        <v>14.4121365360303</v>
      </c>
    </row>
    <row r="20" customFormat="false" ht="15" hidden="false" customHeight="false" outlineLevel="0" collapsed="false">
      <c r="B20" s="4" t="s">
        <v>39</v>
      </c>
      <c r="C20" s="4" t="s">
        <v>37</v>
      </c>
      <c r="D20" s="5" t="n">
        <v>0</v>
      </c>
      <c r="E20" s="6" t="n">
        <v>31.16</v>
      </c>
      <c r="F20" s="6" t="n">
        <v>41.99</v>
      </c>
      <c r="G20" s="6" t="n">
        <v>120.54</v>
      </c>
      <c r="H20" s="6" t="n">
        <v>93.08</v>
      </c>
      <c r="I20" s="7" t="n">
        <v>1538469</v>
      </c>
      <c r="J20" s="6" t="n">
        <v>71.69</v>
      </c>
      <c r="K20" s="8" t="n">
        <v>907</v>
      </c>
      <c r="L20" s="7" t="n">
        <v>4925.9</v>
      </c>
      <c r="M20" s="7" t="n">
        <v>32078.9</v>
      </c>
      <c r="N20" s="9" t="n">
        <v>32.08</v>
      </c>
      <c r="O20" s="8" t="n">
        <v>4539</v>
      </c>
      <c r="P20" s="10" t="n">
        <f aca="false">VALUE(LEFT(B20,4))</f>
        <v>2016</v>
      </c>
      <c r="Q20" s="6" t="n">
        <f aca="false">IF(N19=0,"",(N20-N19)/N19*100)</f>
        <v>18.158379373849</v>
      </c>
    </row>
    <row r="21" customFormat="false" ht="15" hidden="false" customHeight="false" outlineLevel="0" collapsed="false">
      <c r="B21" s="4" t="s">
        <v>40</v>
      </c>
      <c r="C21" s="4" t="s">
        <v>37</v>
      </c>
      <c r="D21" s="5" t="n">
        <v>0</v>
      </c>
      <c r="E21" s="6" t="n">
        <v>32.34</v>
      </c>
      <c r="F21" s="6" t="n">
        <v>49.94</v>
      </c>
      <c r="G21" s="6" t="n">
        <v>91.29</v>
      </c>
      <c r="H21" s="6" t="n">
        <v>95.42</v>
      </c>
      <c r="I21" s="7" t="n">
        <v>1124841</v>
      </c>
      <c r="J21" s="6" t="n">
        <v>67.25</v>
      </c>
      <c r="K21" s="8" t="n">
        <v>489</v>
      </c>
      <c r="L21" s="7" t="n">
        <v>3310.6</v>
      </c>
      <c r="M21" s="7" t="n">
        <v>35389.5</v>
      </c>
      <c r="N21" s="9" t="n">
        <v>35.39</v>
      </c>
      <c r="O21" s="8" t="n">
        <v>5028</v>
      </c>
      <c r="P21" s="10" t="n">
        <f aca="false">VALUE(LEFT(B21,4))</f>
        <v>2016</v>
      </c>
      <c r="Q21" s="6" t="n">
        <f aca="false">IF(N20=0,"",(N21-N20)/N20*100)</f>
        <v>10.3179551122195</v>
      </c>
    </row>
    <row r="22" customFormat="false" ht="15" hidden="false" customHeight="false" outlineLevel="0" collapsed="false">
      <c r="B22" s="4" t="s">
        <v>41</v>
      </c>
      <c r="C22" s="4" t="s">
        <v>37</v>
      </c>
      <c r="D22" s="5" t="n">
        <v>0</v>
      </c>
      <c r="E22" s="6" t="n">
        <v>38.29</v>
      </c>
      <c r="F22" s="6" t="n">
        <v>46.23</v>
      </c>
      <c r="G22" s="6" t="n">
        <v>104.25</v>
      </c>
      <c r="H22" s="6" t="n">
        <v>112.06</v>
      </c>
      <c r="I22" s="7" t="n">
        <v>1086280</v>
      </c>
      <c r="J22" s="6" t="n">
        <v>75.2</v>
      </c>
      <c r="K22" s="8" t="n">
        <v>576</v>
      </c>
      <c r="L22" s="7" t="n">
        <v>3730.5</v>
      </c>
      <c r="M22" s="7" t="n">
        <v>39120</v>
      </c>
      <c r="N22" s="9" t="n">
        <v>39.12</v>
      </c>
      <c r="O22" s="8" t="n">
        <v>5604</v>
      </c>
      <c r="P22" s="10" t="n">
        <f aca="false">VALUE(LEFT(B22,4))</f>
        <v>2016</v>
      </c>
      <c r="Q22" s="6" t="n">
        <f aca="false">IF(N21=0,"",(N22-N21)/N21*100)</f>
        <v>10.5397004803617</v>
      </c>
    </row>
    <row r="23" customFormat="false" ht="15" hidden="false" customHeight="false" outlineLevel="0" collapsed="false">
      <c r="B23" s="4" t="s">
        <v>42</v>
      </c>
      <c r="C23" s="4" t="s">
        <v>37</v>
      </c>
      <c r="D23" s="5" t="n">
        <v>0</v>
      </c>
      <c r="E23" s="6" t="n">
        <v>38.23</v>
      </c>
      <c r="F23" s="6" t="n">
        <v>55.44</v>
      </c>
      <c r="G23" s="6" t="n">
        <v>95.26</v>
      </c>
      <c r="H23" s="6" t="n">
        <v>74.9</v>
      </c>
      <c r="I23" s="7" t="n">
        <v>890643</v>
      </c>
      <c r="J23" s="6" t="n">
        <v>65.96</v>
      </c>
      <c r="K23" s="8" t="n">
        <v>536</v>
      </c>
      <c r="L23" s="7" t="n">
        <v>4516.5</v>
      </c>
      <c r="M23" s="7" t="n">
        <v>43636.5</v>
      </c>
      <c r="N23" s="9" t="n">
        <v>43.64</v>
      </c>
      <c r="O23" s="8" t="n">
        <v>6140</v>
      </c>
      <c r="P23" s="10" t="n">
        <f aca="false">VALUE(LEFT(B23,4))</f>
        <v>2016</v>
      </c>
      <c r="Q23" s="6" t="n">
        <f aca="false">IF(N22=0,"",(N23-N22)/N22*100)</f>
        <v>11.5541922290389</v>
      </c>
    </row>
    <row r="24" customFormat="false" ht="15" hidden="false" customHeight="false" outlineLevel="0" collapsed="false">
      <c r="B24" s="4" t="s">
        <v>43</v>
      </c>
      <c r="C24" s="4" t="s">
        <v>37</v>
      </c>
      <c r="D24" s="5" t="n">
        <v>0</v>
      </c>
      <c r="E24" s="6" t="n">
        <v>40.51</v>
      </c>
      <c r="F24" s="6" t="n">
        <v>53.94</v>
      </c>
      <c r="G24" s="6" t="n">
        <v>85.15</v>
      </c>
      <c r="H24" s="6" t="n">
        <v>92.48</v>
      </c>
      <c r="I24" s="7" t="n">
        <v>1077630</v>
      </c>
      <c r="J24" s="6" t="n">
        <v>68.02</v>
      </c>
      <c r="K24" s="8" t="n">
        <v>494</v>
      </c>
      <c r="L24" s="7" t="n">
        <v>4687.1</v>
      </c>
      <c r="M24" s="7" t="n">
        <v>48323.6</v>
      </c>
      <c r="N24" s="9" t="n">
        <v>48.32</v>
      </c>
      <c r="O24" s="8" t="n">
        <v>6634</v>
      </c>
      <c r="P24" s="10" t="n">
        <f aca="false">VALUE(LEFT(B24,4))</f>
        <v>2016</v>
      </c>
      <c r="Q24" s="6" t="n">
        <f aca="false">IF(N23=0,"",(N24-N23)/N23*100)</f>
        <v>10.724106324473</v>
      </c>
    </row>
    <row r="25" customFormat="false" ht="15" hidden="false" customHeight="false" outlineLevel="0" collapsed="false">
      <c r="B25" s="4" t="s">
        <v>44</v>
      </c>
      <c r="C25" s="4" t="s">
        <v>35</v>
      </c>
      <c r="D25" s="5" t="n">
        <v>1</v>
      </c>
      <c r="E25" s="6" t="n">
        <v>38.63</v>
      </c>
      <c r="F25" s="6" t="n">
        <v>52.72</v>
      </c>
      <c r="G25" s="6" t="n">
        <v>88.42</v>
      </c>
      <c r="H25" s="6" t="n">
        <v>71.18</v>
      </c>
      <c r="I25" s="7" t="n">
        <v>1129172</v>
      </c>
      <c r="J25" s="6" t="n">
        <v>62.74</v>
      </c>
      <c r="K25" s="8" t="n">
        <v>535</v>
      </c>
      <c r="L25" s="7" t="n">
        <v>4643.8</v>
      </c>
      <c r="M25" s="7" t="n">
        <v>52967.3</v>
      </c>
      <c r="N25" s="9" t="n">
        <v>52.97</v>
      </c>
      <c r="O25" s="8" t="n">
        <v>7169</v>
      </c>
      <c r="P25" s="10" t="n">
        <f aca="false">VALUE(LEFT(B25,4))</f>
        <v>2016</v>
      </c>
      <c r="Q25" s="6" t="n">
        <f aca="false">IF(N24=0,"",(N25-N24)/N24*100)</f>
        <v>9.62334437086092</v>
      </c>
    </row>
    <row r="26" customFormat="false" ht="15" hidden="false" customHeight="false" outlineLevel="0" collapsed="false">
      <c r="B26" s="4" t="s">
        <v>45</v>
      </c>
      <c r="C26" s="4" t="s">
        <v>37</v>
      </c>
      <c r="D26" s="5" t="n">
        <v>0</v>
      </c>
      <c r="E26" s="6" t="n">
        <v>56.61</v>
      </c>
      <c r="F26" s="6" t="n">
        <v>50.17</v>
      </c>
      <c r="G26" s="6" t="n">
        <v>78.41</v>
      </c>
      <c r="H26" s="6" t="n">
        <v>98.35</v>
      </c>
      <c r="I26" s="7" t="n">
        <v>1636981</v>
      </c>
      <c r="J26" s="6" t="n">
        <v>70.89</v>
      </c>
      <c r="K26" s="8" t="n">
        <v>790</v>
      </c>
      <c r="L26" s="7" t="n">
        <v>5770.9</v>
      </c>
      <c r="M26" s="7" t="n">
        <v>58738.2</v>
      </c>
      <c r="N26" s="9" t="n">
        <v>58.74</v>
      </c>
      <c r="O26" s="8" t="n">
        <v>7959</v>
      </c>
      <c r="P26" s="10" t="n">
        <f aca="false">VALUE(LEFT(B26,4))</f>
        <v>2016</v>
      </c>
      <c r="Q26" s="6" t="n">
        <f aca="false">IF(N25=0,"",(N26-N25)/N25*100)</f>
        <v>10.8929582782707</v>
      </c>
    </row>
    <row r="27" customFormat="false" ht="15" hidden="false" customHeight="false" outlineLevel="0" collapsed="false">
      <c r="B27" s="4" t="s">
        <v>46</v>
      </c>
      <c r="C27" s="4" t="s">
        <v>37</v>
      </c>
      <c r="D27" s="5" t="n">
        <v>0</v>
      </c>
      <c r="E27" s="6" t="n">
        <v>29.8</v>
      </c>
      <c r="F27" s="6" t="n">
        <v>42.03</v>
      </c>
      <c r="G27" s="6" t="n">
        <v>68.46</v>
      </c>
      <c r="H27" s="6" t="n">
        <v>155.58</v>
      </c>
      <c r="I27" s="7" t="n">
        <v>1988058</v>
      </c>
      <c r="J27" s="6" t="n">
        <v>73.96</v>
      </c>
      <c r="K27" s="8" t="n">
        <v>620</v>
      </c>
      <c r="L27" s="7" t="n">
        <v>4611.3</v>
      </c>
      <c r="M27" s="7" t="n">
        <v>63349.5</v>
      </c>
      <c r="N27" s="9" t="n">
        <v>63.35</v>
      </c>
      <c r="O27" s="8" t="n">
        <v>8579</v>
      </c>
      <c r="P27" s="10" t="n">
        <f aca="false">VALUE(LEFT(B27,4))</f>
        <v>2017</v>
      </c>
      <c r="Q27" s="6" t="n">
        <f aca="false">IF(N26=0,"",(N27-N26)/N26*100)</f>
        <v>7.8481443649983</v>
      </c>
    </row>
    <row r="28" customFormat="false" ht="15" hidden="false" customHeight="false" outlineLevel="0" collapsed="false">
      <c r="B28" s="4" t="s">
        <v>47</v>
      </c>
      <c r="C28" s="4" t="s">
        <v>37</v>
      </c>
      <c r="D28" s="5" t="n">
        <v>0</v>
      </c>
      <c r="E28" s="6" t="n">
        <v>33.88</v>
      </c>
      <c r="F28" s="6" t="n">
        <v>77.63</v>
      </c>
      <c r="G28" s="6" t="n">
        <v>71.7</v>
      </c>
      <c r="H28" s="6" t="n">
        <v>101.34</v>
      </c>
      <c r="I28" s="7" t="n">
        <v>2063975</v>
      </c>
      <c r="J28" s="6" t="n">
        <v>71.14</v>
      </c>
      <c r="K28" s="8" t="n">
        <v>641</v>
      </c>
      <c r="L28" s="7" t="n">
        <v>4186.7</v>
      </c>
      <c r="M28" s="7" t="n">
        <v>67536.2</v>
      </c>
      <c r="N28" s="9" t="n">
        <v>67.54</v>
      </c>
      <c r="O28" s="8" t="n">
        <v>9220</v>
      </c>
      <c r="P28" s="10" t="n">
        <f aca="false">VALUE(LEFT(B28,4))</f>
        <v>2017</v>
      </c>
      <c r="Q28" s="6" t="n">
        <f aca="false">IF(N27=0,"",(N28-N27)/N27*100)</f>
        <v>6.61404893449093</v>
      </c>
    </row>
    <row r="29" customFormat="false" ht="15" hidden="false" customHeight="false" outlineLevel="0" collapsed="false">
      <c r="B29" s="4" t="s">
        <v>48</v>
      </c>
      <c r="C29" s="4" t="s">
        <v>35</v>
      </c>
      <c r="D29" s="5" t="n">
        <v>1</v>
      </c>
      <c r="E29" s="6" t="n">
        <v>24.51</v>
      </c>
      <c r="F29" s="6" t="n">
        <v>84.5</v>
      </c>
      <c r="G29" s="6" t="n">
        <v>68.17</v>
      </c>
      <c r="H29" s="6" t="n">
        <v>84.21</v>
      </c>
      <c r="I29" s="7" t="n">
        <v>2149658</v>
      </c>
      <c r="J29" s="6" t="n">
        <v>65.34</v>
      </c>
      <c r="K29" s="8" t="n">
        <v>826</v>
      </c>
      <c r="L29" s="7" t="n">
        <v>6205.3</v>
      </c>
      <c r="M29" s="7" t="n">
        <v>73741.5</v>
      </c>
      <c r="N29" s="9" t="n">
        <v>73.74</v>
      </c>
      <c r="O29" s="8" t="n">
        <v>10046</v>
      </c>
      <c r="P29" s="10" t="n">
        <f aca="false">VALUE(LEFT(B29,4))</f>
        <v>2017</v>
      </c>
      <c r="Q29" s="6" t="n">
        <f aca="false">IF(N28=0,"",(N29-N28)/N28*100)</f>
        <v>9.17974533609711</v>
      </c>
    </row>
    <row r="30" customFormat="false" ht="15" hidden="false" customHeight="false" outlineLevel="0" collapsed="false">
      <c r="B30" s="4" t="s">
        <v>49</v>
      </c>
      <c r="C30" s="4" t="s">
        <v>19</v>
      </c>
      <c r="D30" s="5" t="n">
        <v>2</v>
      </c>
      <c r="E30" s="6" t="n">
        <v>23.77</v>
      </c>
      <c r="F30" s="6" t="n">
        <v>74.15</v>
      </c>
      <c r="G30" s="6" t="n">
        <v>73.61</v>
      </c>
      <c r="H30" s="6" t="n">
        <v>83.01</v>
      </c>
      <c r="I30" s="7" t="n">
        <v>1804531</v>
      </c>
      <c r="J30" s="6" t="n">
        <v>63.64</v>
      </c>
      <c r="K30" s="8" t="n">
        <v>674</v>
      </c>
      <c r="L30" s="7" t="n">
        <v>6439.5</v>
      </c>
      <c r="M30" s="7" t="n">
        <v>80181</v>
      </c>
      <c r="N30" s="9" t="n">
        <v>80.18</v>
      </c>
      <c r="O30" s="8" t="n">
        <v>10720</v>
      </c>
      <c r="P30" s="10" t="n">
        <f aca="false">VALUE(LEFT(B30,4))</f>
        <v>2017</v>
      </c>
      <c r="Q30" s="6" t="n">
        <f aca="false">IF(N29=0,"",(N30-N29)/N29*100)</f>
        <v>8.73338757797669</v>
      </c>
    </row>
    <row r="31" customFormat="false" ht="15" hidden="false" customHeight="false" outlineLevel="0" collapsed="false">
      <c r="B31" s="4" t="s">
        <v>50</v>
      </c>
      <c r="C31" s="4" t="s">
        <v>19</v>
      </c>
      <c r="D31" s="5" t="n">
        <v>2</v>
      </c>
      <c r="E31" s="6" t="n">
        <v>23.27</v>
      </c>
      <c r="F31" s="6" t="n">
        <v>60.92</v>
      </c>
      <c r="G31" s="6" t="n">
        <v>100.19</v>
      </c>
      <c r="H31" s="6" t="n">
        <v>165.59</v>
      </c>
      <c r="I31" s="7" t="n">
        <v>1925184</v>
      </c>
      <c r="J31" s="6" t="n">
        <v>87.49</v>
      </c>
      <c r="K31" s="8" t="n">
        <v>897</v>
      </c>
      <c r="L31" s="7" t="n">
        <v>9402.3</v>
      </c>
      <c r="M31" s="7" t="n">
        <v>89583.3</v>
      </c>
      <c r="N31" s="9" t="n">
        <v>89.58</v>
      </c>
      <c r="O31" s="8" t="n">
        <v>11617</v>
      </c>
      <c r="P31" s="10" t="n">
        <f aca="false">VALUE(LEFT(B31,4))</f>
        <v>2017</v>
      </c>
      <c r="Q31" s="6" t="n">
        <f aca="false">IF(N30=0,"",(N31-N30)/N30*100)</f>
        <v>11.7236218508356</v>
      </c>
    </row>
    <row r="32" customFormat="false" ht="15" hidden="false" customHeight="false" outlineLevel="0" collapsed="false">
      <c r="B32" s="4" t="s">
        <v>51</v>
      </c>
      <c r="C32" s="4" t="s">
        <v>37</v>
      </c>
      <c r="D32" s="5" t="n">
        <v>0</v>
      </c>
      <c r="E32" s="6" t="n">
        <v>32.72</v>
      </c>
      <c r="F32" s="6" t="n">
        <v>60.11</v>
      </c>
      <c r="G32" s="6" t="n">
        <v>106.45</v>
      </c>
      <c r="H32" s="6" t="n">
        <v>268.71</v>
      </c>
      <c r="I32" s="7" t="n">
        <v>2029406</v>
      </c>
      <c r="J32" s="6" t="n">
        <v>117</v>
      </c>
      <c r="K32" s="8" t="n">
        <v>1079</v>
      </c>
      <c r="L32" s="7" t="n">
        <v>8824.3</v>
      </c>
      <c r="M32" s="7" t="n">
        <v>98407.5</v>
      </c>
      <c r="N32" s="9" t="n">
        <v>98.41</v>
      </c>
      <c r="O32" s="8" t="n">
        <v>12696</v>
      </c>
      <c r="P32" s="10" t="n">
        <f aca="false">VALUE(LEFT(B32,4))</f>
        <v>2017</v>
      </c>
      <c r="Q32" s="6" t="n">
        <f aca="false">IF(N31=0,"",(N32-N31)/N31*100)</f>
        <v>9.85711096226836</v>
      </c>
    </row>
    <row r="33" customFormat="false" ht="15" hidden="false" customHeight="false" outlineLevel="0" collapsed="false">
      <c r="B33" s="4" t="s">
        <v>52</v>
      </c>
      <c r="C33" s="4" t="s">
        <v>35</v>
      </c>
      <c r="D33" s="5" t="n">
        <v>1</v>
      </c>
      <c r="E33" s="6" t="n">
        <v>32.87</v>
      </c>
      <c r="F33" s="6" t="n">
        <v>60.45</v>
      </c>
      <c r="G33" s="6" t="n">
        <v>79.54</v>
      </c>
      <c r="H33" s="6" t="n">
        <v>38.36</v>
      </c>
      <c r="I33" s="7" t="n">
        <v>865611</v>
      </c>
      <c r="J33" s="6" t="n">
        <v>52.81</v>
      </c>
      <c r="K33" s="8" t="n">
        <v>1118</v>
      </c>
      <c r="L33" s="7" t="n">
        <v>8863.6</v>
      </c>
      <c r="M33" s="7" t="n">
        <v>107271.2</v>
      </c>
      <c r="N33" s="9" t="n">
        <v>107.27</v>
      </c>
      <c r="O33" s="8" t="n">
        <v>13814</v>
      </c>
      <c r="P33" s="10" t="n">
        <f aca="false">VALUE(LEFT(B33,4))</f>
        <v>2017</v>
      </c>
      <c r="Q33" s="6" t="n">
        <f aca="false">IF(N32=0,"",(N33-N32)/N32*100)</f>
        <v>9.00315008637334</v>
      </c>
    </row>
    <row r="34" customFormat="false" ht="15" hidden="false" customHeight="false" outlineLevel="0" collapsed="false">
      <c r="B34" s="4" t="s">
        <v>53</v>
      </c>
      <c r="C34" s="4" t="s">
        <v>19</v>
      </c>
      <c r="D34" s="5" t="n">
        <v>2</v>
      </c>
      <c r="E34" s="6" t="n">
        <v>35.65</v>
      </c>
      <c r="F34" s="6" t="n">
        <v>58.33</v>
      </c>
      <c r="G34" s="6" t="n">
        <v>85.43</v>
      </c>
      <c r="H34" s="6" t="n">
        <v>51.04</v>
      </c>
      <c r="I34" s="7" t="n">
        <v>783057</v>
      </c>
      <c r="J34" s="6" t="n">
        <v>57.61</v>
      </c>
      <c r="K34" s="8" t="n">
        <v>1316</v>
      </c>
      <c r="L34" s="7" t="n">
        <v>13780.8</v>
      </c>
      <c r="M34" s="7" t="n">
        <v>121051.9</v>
      </c>
      <c r="N34" s="9" t="n">
        <v>121.05</v>
      </c>
      <c r="O34" s="8" t="n">
        <v>15130</v>
      </c>
      <c r="P34" s="10" t="n">
        <f aca="false">VALUE(LEFT(B34,4))</f>
        <v>2017</v>
      </c>
      <c r="Q34" s="6" t="n">
        <f aca="false">IF(N33=0,"",(N34-N33)/N33*100)</f>
        <v>12.8460893073553</v>
      </c>
    </row>
    <row r="35" customFormat="false" ht="15" hidden="false" customHeight="false" outlineLevel="0" collapsed="false">
      <c r="B35" s="4" t="s">
        <v>54</v>
      </c>
      <c r="C35" s="4" t="s">
        <v>35</v>
      </c>
      <c r="D35" s="5" t="n">
        <v>1</v>
      </c>
      <c r="E35" s="6" t="n">
        <v>33.96</v>
      </c>
      <c r="F35" s="6" t="n">
        <v>59.35</v>
      </c>
      <c r="G35" s="6" t="n">
        <v>65.83</v>
      </c>
      <c r="H35" s="6" t="n">
        <v>23.02</v>
      </c>
      <c r="I35" s="7" t="n">
        <v>533104</v>
      </c>
      <c r="J35" s="6" t="n">
        <v>45.54</v>
      </c>
      <c r="K35" s="8" t="n">
        <v>1155</v>
      </c>
      <c r="L35" s="7" t="n">
        <v>13548</v>
      </c>
      <c r="M35" s="7" t="n">
        <v>134599.9</v>
      </c>
      <c r="N35" s="9" t="n">
        <v>134.6</v>
      </c>
      <c r="O35" s="8" t="n">
        <v>16285</v>
      </c>
      <c r="P35" s="10" t="n">
        <f aca="false">VALUE(LEFT(B35,4))</f>
        <v>2017</v>
      </c>
      <c r="Q35" s="6" t="n">
        <f aca="false">IF(N34=0,"",(N35-N34)/N34*100)</f>
        <v>11.1937216026435</v>
      </c>
    </row>
    <row r="36" customFormat="false" ht="15" hidden="false" customHeight="false" outlineLevel="0" collapsed="false">
      <c r="B36" s="4" t="s">
        <v>55</v>
      </c>
      <c r="C36" s="4" t="s">
        <v>33</v>
      </c>
      <c r="D36" s="5" t="n">
        <v>3</v>
      </c>
      <c r="E36" s="6" t="n">
        <v>25.99</v>
      </c>
      <c r="F36" s="6" t="n">
        <v>50.69</v>
      </c>
      <c r="G36" s="6" t="n">
        <v>68.25</v>
      </c>
      <c r="H36" s="6" t="n">
        <v>80.58</v>
      </c>
      <c r="I36" s="7" t="n">
        <v>890023</v>
      </c>
      <c r="J36" s="6" t="n">
        <v>56.38</v>
      </c>
      <c r="K36" s="8" t="n">
        <v>1327</v>
      </c>
      <c r="L36" s="7" t="n">
        <v>13489.3</v>
      </c>
      <c r="M36" s="7" t="n">
        <v>148089.1</v>
      </c>
      <c r="N36" s="9" t="n">
        <v>148.09</v>
      </c>
      <c r="O36" s="8" t="n">
        <v>17612</v>
      </c>
      <c r="P36" s="10" t="n">
        <f aca="false">VALUE(LEFT(B36,4))</f>
        <v>2017</v>
      </c>
      <c r="Q36" s="6" t="n">
        <f aca="false">IF(N35=0,"",(N36-N35)/N35*100)</f>
        <v>10.0222882615156</v>
      </c>
    </row>
    <row r="37" customFormat="false" ht="15" hidden="false" customHeight="false" outlineLevel="0" collapsed="false">
      <c r="B37" s="4" t="s">
        <v>56</v>
      </c>
      <c r="C37" s="4" t="s">
        <v>33</v>
      </c>
      <c r="D37" s="5" t="n">
        <v>3</v>
      </c>
      <c r="E37" s="6" t="n">
        <v>29.91</v>
      </c>
      <c r="F37" s="6" t="n">
        <v>58.5</v>
      </c>
      <c r="G37" s="6" t="n">
        <v>102.75</v>
      </c>
      <c r="H37" s="6" t="n">
        <v>126.67</v>
      </c>
      <c r="I37" s="7" t="n">
        <v>1412361</v>
      </c>
      <c r="J37" s="6" t="n">
        <v>79.46</v>
      </c>
      <c r="K37" s="8" t="n">
        <v>1780</v>
      </c>
      <c r="L37" s="7" t="n">
        <v>16141.9</v>
      </c>
      <c r="M37" s="7" t="n">
        <v>164231.1</v>
      </c>
      <c r="N37" s="9" t="n">
        <v>164.23</v>
      </c>
      <c r="O37" s="8" t="n">
        <v>19392</v>
      </c>
      <c r="P37" s="10" t="n">
        <f aca="false">VALUE(LEFT(B37,4))</f>
        <v>2017</v>
      </c>
      <c r="Q37" s="6" t="n">
        <f aca="false">IF(N36=0,"",(N37-N36)/N36*100)</f>
        <v>10.8987777702748</v>
      </c>
    </row>
    <row r="38" customFormat="false" ht="15" hidden="false" customHeight="false" outlineLevel="0" collapsed="false">
      <c r="B38" s="4" t="s">
        <v>57</v>
      </c>
      <c r="C38" s="4" t="s">
        <v>19</v>
      </c>
      <c r="D38" s="5" t="n">
        <v>2</v>
      </c>
      <c r="E38" s="6" t="n">
        <v>58.7</v>
      </c>
      <c r="F38" s="6" t="n">
        <v>74.62</v>
      </c>
      <c r="G38" s="6" t="n">
        <v>95.1</v>
      </c>
      <c r="H38" s="6" t="n">
        <v>85.99</v>
      </c>
      <c r="I38" s="7" t="n">
        <v>1903629</v>
      </c>
      <c r="J38" s="6" t="n">
        <v>78.6</v>
      </c>
      <c r="K38" s="8" t="n">
        <v>1763</v>
      </c>
      <c r="L38" s="7" t="n">
        <v>19877.6</v>
      </c>
      <c r="M38" s="7" t="n">
        <v>184108.6</v>
      </c>
      <c r="N38" s="9" t="n">
        <v>184.11</v>
      </c>
      <c r="O38" s="8" t="n">
        <v>21155</v>
      </c>
      <c r="P38" s="10" t="n">
        <f aca="false">VALUE(LEFT(B38,4))</f>
        <v>2017</v>
      </c>
      <c r="Q38" s="6" t="n">
        <f aca="false">IF(N37=0,"",(N38-N37)/N37*100)</f>
        <v>12.1049747305608</v>
      </c>
    </row>
    <row r="39" customFormat="false" ht="15" hidden="false" customHeight="false" outlineLevel="0" collapsed="false">
      <c r="B39" s="4" t="s">
        <v>58</v>
      </c>
      <c r="C39" s="4" t="s">
        <v>37</v>
      </c>
      <c r="D39" s="5" t="n">
        <v>0</v>
      </c>
      <c r="E39" s="6" t="n">
        <v>39.55</v>
      </c>
      <c r="F39" s="6" t="n">
        <v>63.43</v>
      </c>
      <c r="G39" s="6" t="n">
        <v>96.91</v>
      </c>
      <c r="H39" s="6" t="n">
        <v>187.76</v>
      </c>
      <c r="I39" s="7" t="n">
        <v>2733782</v>
      </c>
      <c r="J39" s="6" t="n">
        <v>96.91</v>
      </c>
      <c r="K39" s="8" t="n">
        <v>1907</v>
      </c>
      <c r="L39" s="7" t="n">
        <v>17362.2</v>
      </c>
      <c r="M39" s="7" t="n">
        <v>201470.8</v>
      </c>
      <c r="N39" s="9" t="n">
        <v>201.47</v>
      </c>
      <c r="O39" s="8" t="n">
        <v>23062</v>
      </c>
      <c r="P39" s="10" t="n">
        <f aca="false">VALUE(LEFT(B39,4))</f>
        <v>2018</v>
      </c>
      <c r="Q39" s="6" t="n">
        <f aca="false">IF(N38=0,"",(N39-N38)/N38*100)</f>
        <v>9.42914561946661</v>
      </c>
    </row>
    <row r="40" customFormat="false" ht="15" hidden="false" customHeight="false" outlineLevel="0" collapsed="false">
      <c r="B40" s="4" t="s">
        <v>59</v>
      </c>
      <c r="C40" s="4" t="s">
        <v>37</v>
      </c>
      <c r="D40" s="5" t="n">
        <v>0</v>
      </c>
      <c r="E40" s="6" t="n">
        <v>46.89</v>
      </c>
      <c r="F40" s="6" t="n">
        <v>106.91</v>
      </c>
      <c r="G40" s="6" t="n">
        <v>83.2</v>
      </c>
      <c r="H40" s="6" t="n">
        <v>86.51</v>
      </c>
      <c r="I40" s="7" t="n">
        <v>2466695.2</v>
      </c>
      <c r="J40" s="6" t="n">
        <v>80.88</v>
      </c>
      <c r="K40" s="8" t="n">
        <v>1681</v>
      </c>
      <c r="L40" s="7" t="n">
        <v>25329.8</v>
      </c>
      <c r="M40" s="7" t="n">
        <v>226800.6</v>
      </c>
      <c r="N40" s="9" t="n">
        <v>226.8</v>
      </c>
      <c r="O40" s="8" t="n">
        <v>24743</v>
      </c>
      <c r="P40" s="10" t="n">
        <f aca="false">VALUE(LEFT(B40,4))</f>
        <v>2018</v>
      </c>
      <c r="Q40" s="6" t="n">
        <f aca="false">IF(N39=0,"",(N40-N39)/N39*100)</f>
        <v>12.5725914528218</v>
      </c>
    </row>
    <row r="41" customFormat="false" ht="15" hidden="false" customHeight="false" outlineLevel="0" collapsed="false">
      <c r="B41" s="4" t="s">
        <v>60</v>
      </c>
      <c r="C41" s="4" t="s">
        <v>37</v>
      </c>
      <c r="D41" s="5" t="n">
        <v>0</v>
      </c>
      <c r="E41" s="6" t="n">
        <v>56.14</v>
      </c>
      <c r="F41" s="6" t="n">
        <v>93.35</v>
      </c>
      <c r="G41" s="6" t="n">
        <v>88.66</v>
      </c>
      <c r="H41" s="6" t="n">
        <v>94.22</v>
      </c>
      <c r="I41" s="7" t="n">
        <v>3069600.5</v>
      </c>
      <c r="J41" s="6" t="n">
        <v>83.09</v>
      </c>
      <c r="K41" s="8" t="n">
        <v>2142</v>
      </c>
      <c r="L41" s="7" t="n">
        <v>22921.4</v>
      </c>
      <c r="M41" s="7" t="n">
        <v>249722.1</v>
      </c>
      <c r="N41" s="9" t="n">
        <v>249.72</v>
      </c>
      <c r="O41" s="8" t="n">
        <v>26885</v>
      </c>
      <c r="P41" s="10" t="n">
        <f aca="false">VALUE(LEFT(B41,4))</f>
        <v>2018</v>
      </c>
      <c r="Q41" s="6" t="n">
        <f aca="false">IF(N40=0,"",(N41-N40)/N40*100)</f>
        <v>10.1058201058201</v>
      </c>
    </row>
    <row r="42" customFormat="false" ht="15" hidden="false" customHeight="false" outlineLevel="0" collapsed="false">
      <c r="B42" s="4" t="s">
        <v>61</v>
      </c>
      <c r="C42" s="4" t="s">
        <v>37</v>
      </c>
      <c r="D42" s="5" t="n">
        <v>0</v>
      </c>
      <c r="E42" s="6" t="n">
        <v>47.78</v>
      </c>
      <c r="F42" s="6" t="n">
        <v>98.6</v>
      </c>
      <c r="G42" s="6" t="n">
        <v>89.74</v>
      </c>
      <c r="H42" s="6" t="n">
        <v>91.49</v>
      </c>
      <c r="I42" s="7" t="n">
        <v>2598280.5</v>
      </c>
      <c r="J42" s="6" t="n">
        <v>81.9</v>
      </c>
      <c r="K42" s="8" t="n">
        <v>2029</v>
      </c>
      <c r="L42" s="7" t="n">
        <v>21098.8</v>
      </c>
      <c r="M42" s="7" t="n">
        <v>270820.9</v>
      </c>
      <c r="N42" s="9" t="n">
        <v>270.82</v>
      </c>
      <c r="O42" s="8" t="n">
        <v>28914</v>
      </c>
      <c r="P42" s="10" t="n">
        <f aca="false">VALUE(LEFT(B42,4))</f>
        <v>2018</v>
      </c>
      <c r="Q42" s="6" t="n">
        <f aca="false">IF(N41=0,"",(N42-N41)/N41*100)</f>
        <v>8.44946339900689</v>
      </c>
    </row>
    <row r="43" customFormat="false" ht="15" hidden="false" customHeight="false" outlineLevel="0" collapsed="false">
      <c r="B43" s="4" t="s">
        <v>62</v>
      </c>
      <c r="C43" s="4" t="s">
        <v>35</v>
      </c>
      <c r="D43" s="5" t="n">
        <v>1</v>
      </c>
      <c r="E43" s="6" t="n">
        <v>34.95</v>
      </c>
      <c r="F43" s="6" t="n">
        <v>69.81</v>
      </c>
      <c r="G43" s="6" t="n">
        <v>78.08</v>
      </c>
      <c r="H43" s="6" t="n">
        <v>36.19</v>
      </c>
      <c r="I43" s="7" t="n">
        <v>1568613</v>
      </c>
      <c r="J43" s="6" t="n">
        <v>54.76</v>
      </c>
      <c r="K43" s="8" t="n">
        <v>2383</v>
      </c>
      <c r="L43" s="7" t="n">
        <v>26049.9</v>
      </c>
      <c r="M43" s="7" t="n">
        <v>296870.8</v>
      </c>
      <c r="N43" s="9" t="n">
        <v>296.87</v>
      </c>
      <c r="O43" s="8" t="n">
        <v>31297</v>
      </c>
      <c r="P43" s="10" t="n">
        <f aca="false">VALUE(LEFT(B43,4))</f>
        <v>2018</v>
      </c>
      <c r="Q43" s="6" t="n">
        <f aca="false">IF(N42=0,"",(N43-N42)/N42*100)</f>
        <v>9.61893508603501</v>
      </c>
    </row>
    <row r="44" customFormat="false" ht="15" hidden="false" customHeight="false" outlineLevel="0" collapsed="false">
      <c r="B44" s="4" t="s">
        <v>63</v>
      </c>
      <c r="C44" s="4" t="s">
        <v>33</v>
      </c>
      <c r="D44" s="5" t="n">
        <v>3</v>
      </c>
      <c r="E44" s="6" t="n">
        <v>37.22</v>
      </c>
      <c r="F44" s="6" t="n">
        <v>57.89</v>
      </c>
      <c r="G44" s="6" t="n">
        <v>76.15</v>
      </c>
      <c r="H44" s="6" t="n">
        <v>48.87</v>
      </c>
      <c r="I44" s="7" t="n">
        <v>1124834.5</v>
      </c>
      <c r="J44" s="6" t="n">
        <v>55.03</v>
      </c>
      <c r="K44" s="8" t="n">
        <v>2413</v>
      </c>
      <c r="L44" s="7" t="n">
        <v>32308.3</v>
      </c>
      <c r="M44" s="7" t="n">
        <v>329179.1</v>
      </c>
      <c r="N44" s="9" t="n">
        <v>329.18</v>
      </c>
      <c r="O44" s="8" t="n">
        <v>33710</v>
      </c>
      <c r="P44" s="10" t="n">
        <f aca="false">VALUE(LEFT(B44,4))</f>
        <v>2018</v>
      </c>
      <c r="Q44" s="6" t="n">
        <f aca="false">IF(N43=0,"",(N44-N43)/N43*100)</f>
        <v>10.8835517229764</v>
      </c>
    </row>
    <row r="45" customFormat="false" ht="15" hidden="false" customHeight="false" outlineLevel="0" collapsed="false">
      <c r="B45" s="4" t="s">
        <v>64</v>
      </c>
      <c r="C45" s="4" t="s">
        <v>33</v>
      </c>
      <c r="D45" s="5" t="n">
        <v>3</v>
      </c>
      <c r="E45" s="6" t="n">
        <v>38.83</v>
      </c>
      <c r="F45" s="6" t="n">
        <v>66.08</v>
      </c>
      <c r="G45" s="6" t="n">
        <v>69.61</v>
      </c>
      <c r="H45" s="6" t="n">
        <v>59.68</v>
      </c>
      <c r="I45" s="7" t="n">
        <v>902433.8</v>
      </c>
      <c r="J45" s="6" t="n">
        <v>58.55</v>
      </c>
      <c r="K45" s="8" t="n">
        <v>2594</v>
      </c>
      <c r="L45" s="7" t="n">
        <v>28550.3</v>
      </c>
      <c r="M45" s="7" t="n">
        <v>357729.4</v>
      </c>
      <c r="N45" s="9" t="n">
        <v>357.73</v>
      </c>
      <c r="O45" s="8" t="n">
        <v>36304</v>
      </c>
      <c r="P45" s="10" t="n">
        <f aca="false">VALUE(LEFT(B45,4))</f>
        <v>2018</v>
      </c>
      <c r="Q45" s="6" t="n">
        <f aca="false">IF(N44=0,"",(N45-N44)/N44*100)</f>
        <v>8.67306640743666</v>
      </c>
    </row>
    <row r="46" customFormat="false" ht="15" hidden="false" customHeight="false" outlineLevel="0" collapsed="false">
      <c r="B46" s="4" t="s">
        <v>65</v>
      </c>
      <c r="C46" s="4" t="s">
        <v>33</v>
      </c>
      <c r="D46" s="5" t="n">
        <v>3</v>
      </c>
      <c r="E46" s="6" t="n">
        <v>39.96</v>
      </c>
      <c r="F46" s="6" t="n">
        <v>70.71</v>
      </c>
      <c r="G46" s="6" t="n">
        <v>82.66</v>
      </c>
      <c r="H46" s="6" t="n">
        <v>47.68</v>
      </c>
      <c r="I46" s="7" t="n">
        <v>780617.4</v>
      </c>
      <c r="J46" s="6" t="n">
        <v>60.25</v>
      </c>
      <c r="K46" s="8" t="n">
        <v>3249</v>
      </c>
      <c r="L46" s="7" t="n">
        <v>40720.6</v>
      </c>
      <c r="M46" s="7" t="n">
        <v>398449.9</v>
      </c>
      <c r="N46" s="9" t="n">
        <v>398.45</v>
      </c>
      <c r="O46" s="8" t="n">
        <v>39553</v>
      </c>
      <c r="P46" s="10" t="n">
        <f aca="false">VALUE(LEFT(B46,4))</f>
        <v>2018</v>
      </c>
      <c r="Q46" s="6" t="n">
        <f aca="false">IF(N45=0,"",(N46-N45)/N45*100)</f>
        <v>11.3828865345372</v>
      </c>
    </row>
    <row r="47" customFormat="false" ht="15" hidden="false" customHeight="false" outlineLevel="0" collapsed="false">
      <c r="B47" s="4" t="s">
        <v>66</v>
      </c>
      <c r="C47" s="4" t="s">
        <v>33</v>
      </c>
      <c r="D47" s="5" t="n">
        <v>3</v>
      </c>
      <c r="E47" s="6" t="n">
        <v>42.65</v>
      </c>
      <c r="F47" s="6" t="n">
        <v>68.95</v>
      </c>
      <c r="G47" s="6" t="n">
        <v>82.45</v>
      </c>
      <c r="H47" s="6" t="n">
        <v>99.17</v>
      </c>
      <c r="I47" s="7" t="n">
        <v>914008</v>
      </c>
      <c r="J47" s="6" t="n">
        <v>73.3</v>
      </c>
      <c r="K47" s="8" t="n">
        <v>3128</v>
      </c>
      <c r="L47" s="7" t="n">
        <v>38291.4</v>
      </c>
      <c r="M47" s="7" t="n">
        <v>436741.3</v>
      </c>
      <c r="N47" s="9" t="n">
        <v>436.74</v>
      </c>
      <c r="O47" s="8" t="n">
        <v>42681</v>
      </c>
      <c r="P47" s="10" t="n">
        <f aca="false">VALUE(LEFT(B47,4))</f>
        <v>2018</v>
      </c>
      <c r="Q47" s="6" t="n">
        <f aca="false">IF(N46=0,"",(N47-N46)/N46*100)</f>
        <v>9.60973773371816</v>
      </c>
    </row>
    <row r="48" customFormat="false" ht="15" hidden="false" customHeight="false" outlineLevel="0" collapsed="false">
      <c r="B48" s="4" t="s">
        <v>67</v>
      </c>
      <c r="C48" s="4" t="s">
        <v>33</v>
      </c>
      <c r="D48" s="5" t="n">
        <v>3</v>
      </c>
      <c r="E48" s="6" t="n">
        <v>43.35</v>
      </c>
      <c r="F48" s="6" t="n">
        <v>61.24</v>
      </c>
      <c r="G48" s="6" t="n">
        <v>108.31</v>
      </c>
      <c r="H48" s="6" t="n">
        <v>119.04</v>
      </c>
      <c r="I48" s="7" t="n">
        <v>1363760.8</v>
      </c>
      <c r="J48" s="6" t="n">
        <v>82.99</v>
      </c>
      <c r="K48" s="8" t="n">
        <v>4026</v>
      </c>
      <c r="L48" s="7" t="n">
        <v>43885.3</v>
      </c>
      <c r="M48" s="7" t="n">
        <v>480626.6</v>
      </c>
      <c r="N48" s="9" t="n">
        <v>480.63</v>
      </c>
      <c r="O48" s="8" t="n">
        <v>46707</v>
      </c>
      <c r="P48" s="10" t="n">
        <f aca="false">VALUE(LEFT(B48,4))</f>
        <v>2018</v>
      </c>
      <c r="Q48" s="6" t="n">
        <f aca="false">IF(N47=0,"",(N48-N47)/N47*100)</f>
        <v>10.0494573430416</v>
      </c>
    </row>
    <row r="49" customFormat="false" ht="15" hidden="false" customHeight="false" outlineLevel="0" collapsed="false">
      <c r="B49" s="4" t="s">
        <v>68</v>
      </c>
      <c r="C49" s="4" t="s">
        <v>35</v>
      </c>
      <c r="D49" s="5" t="n">
        <v>1</v>
      </c>
      <c r="E49" s="6" t="n">
        <v>71.01</v>
      </c>
      <c r="F49" s="6" t="n">
        <v>81.44</v>
      </c>
      <c r="G49" s="6" t="n">
        <v>128.71</v>
      </c>
      <c r="H49" s="6" t="n">
        <v>113.1</v>
      </c>
      <c r="I49" s="7" t="n">
        <v>1731347.9</v>
      </c>
      <c r="J49" s="6" t="n">
        <v>98.56</v>
      </c>
      <c r="K49" s="8" t="n">
        <v>4352</v>
      </c>
      <c r="L49" s="7" t="n">
        <v>50111.1</v>
      </c>
      <c r="M49" s="7" t="n">
        <v>530737.7</v>
      </c>
      <c r="N49" s="9" t="n">
        <v>530.74</v>
      </c>
      <c r="O49" s="8" t="n">
        <v>51059</v>
      </c>
      <c r="P49" s="10" t="n">
        <f aca="false">VALUE(LEFT(B49,4))</f>
        <v>2018</v>
      </c>
      <c r="Q49" s="6" t="n">
        <f aca="false">IF(N48=0,"",(N49-N48)/N48*100)</f>
        <v>10.425899340449</v>
      </c>
    </row>
    <row r="50" customFormat="false" ht="15" hidden="false" customHeight="false" outlineLevel="0" collapsed="false">
      <c r="B50" s="4" t="s">
        <v>69</v>
      </c>
      <c r="C50" s="4" t="s">
        <v>37</v>
      </c>
      <c r="D50" s="5" t="n">
        <v>0</v>
      </c>
      <c r="E50" s="6" t="n">
        <v>87.76</v>
      </c>
      <c r="F50" s="6" t="n">
        <v>114.32</v>
      </c>
      <c r="G50" s="6" t="n">
        <v>95.42</v>
      </c>
      <c r="H50" s="6" t="n">
        <v>79.36</v>
      </c>
      <c r="I50" s="7" t="n">
        <v>2153679.1</v>
      </c>
      <c r="J50" s="6" t="n">
        <v>94.22</v>
      </c>
      <c r="K50" s="8" t="n">
        <v>4453</v>
      </c>
      <c r="L50" s="7" t="n">
        <v>56188.3</v>
      </c>
      <c r="M50" s="7" t="n">
        <v>586926</v>
      </c>
      <c r="N50" s="9" t="n">
        <v>586.93</v>
      </c>
      <c r="O50" s="8" t="n">
        <v>55512</v>
      </c>
      <c r="P50" s="10" t="n">
        <f aca="false">VALUE(LEFT(B50,4))</f>
        <v>2018</v>
      </c>
      <c r="Q50" s="6" t="n">
        <f aca="false">IF(N49=0,"",(N50-N49)/N49*100)</f>
        <v>10.5871047970758</v>
      </c>
    </row>
    <row r="51" customFormat="false" ht="15" hidden="false" customHeight="false" outlineLevel="0" collapsed="false">
      <c r="B51" s="4" t="s">
        <v>70</v>
      </c>
      <c r="C51" s="4" t="s">
        <v>37</v>
      </c>
      <c r="D51" s="5" t="n">
        <v>0</v>
      </c>
      <c r="E51" s="6" t="n">
        <v>37.83</v>
      </c>
      <c r="F51" s="6" t="n">
        <v>77.55</v>
      </c>
      <c r="G51" s="6" t="n">
        <v>63.95</v>
      </c>
      <c r="H51" s="6" t="n">
        <v>99.04</v>
      </c>
      <c r="I51" s="7" t="n">
        <v>2058451.1</v>
      </c>
      <c r="J51" s="6" t="n">
        <v>69.59</v>
      </c>
      <c r="K51" s="8" t="n">
        <v>5320</v>
      </c>
      <c r="L51" s="7" t="n">
        <v>61293</v>
      </c>
      <c r="M51" s="7" t="n">
        <v>648219</v>
      </c>
      <c r="N51" s="9" t="n">
        <v>648.22</v>
      </c>
      <c r="O51" s="8" t="n">
        <v>60832</v>
      </c>
      <c r="P51" s="10" t="n">
        <f aca="false">VALUE(LEFT(B51,4))</f>
        <v>2019</v>
      </c>
      <c r="Q51" s="6" t="n">
        <f aca="false">IF(N50=0,"",(N51-N50)/N50*100)</f>
        <v>10.4424718450241</v>
      </c>
    </row>
    <row r="52" customFormat="false" ht="15" hidden="false" customHeight="false" outlineLevel="0" collapsed="false">
      <c r="B52" s="4" t="s">
        <v>71</v>
      </c>
      <c r="C52" s="4" t="s">
        <v>37</v>
      </c>
      <c r="D52" s="5" t="n">
        <v>0</v>
      </c>
      <c r="E52" s="6" t="n">
        <v>25.38</v>
      </c>
      <c r="F52" s="6" t="n">
        <v>65.41</v>
      </c>
      <c r="G52" s="6" t="n">
        <v>65.66</v>
      </c>
      <c r="H52" s="6" t="n">
        <v>80.46</v>
      </c>
      <c r="I52" s="7" t="n">
        <v>1991764.2</v>
      </c>
      <c r="J52" s="6" t="n">
        <v>59.23</v>
      </c>
      <c r="K52" s="8" t="n">
        <v>5593</v>
      </c>
      <c r="L52" s="7" t="n">
        <v>67636.8</v>
      </c>
      <c r="M52" s="7" t="n">
        <v>715855.8</v>
      </c>
      <c r="N52" s="9" t="n">
        <v>715.86</v>
      </c>
      <c r="O52" s="8" t="n">
        <v>66425</v>
      </c>
      <c r="P52" s="10" t="n">
        <f aca="false">VALUE(LEFT(B52,4))</f>
        <v>2019</v>
      </c>
      <c r="Q52" s="6" t="n">
        <f aca="false">IF(N51=0,"",(N52-N51)/N51*100)</f>
        <v>10.4347289500478</v>
      </c>
    </row>
    <row r="53" customFormat="false" ht="15" hidden="false" customHeight="false" outlineLevel="0" collapsed="false">
      <c r="B53" s="4" t="s">
        <v>72</v>
      </c>
      <c r="C53" s="4" t="s">
        <v>37</v>
      </c>
      <c r="D53" s="5" t="n">
        <v>0</v>
      </c>
      <c r="E53" s="6" t="n">
        <v>43.76</v>
      </c>
      <c r="F53" s="6" t="n">
        <v>83.99</v>
      </c>
      <c r="G53" s="6" t="n">
        <v>96.83</v>
      </c>
      <c r="H53" s="6" t="n">
        <v>133.63</v>
      </c>
      <c r="I53" s="7" t="n">
        <v>3229765.1</v>
      </c>
      <c r="J53" s="6" t="n">
        <v>89.55</v>
      </c>
      <c r="K53" s="8" t="n">
        <v>5743</v>
      </c>
      <c r="L53" s="7" t="n">
        <v>66016.2</v>
      </c>
      <c r="M53" s="7" t="n">
        <v>781871.9</v>
      </c>
      <c r="N53" s="9" t="n">
        <v>781.87</v>
      </c>
      <c r="O53" s="8" t="n">
        <v>72168</v>
      </c>
      <c r="P53" s="10" t="n">
        <f aca="false">VALUE(LEFT(B53,4))</f>
        <v>2019</v>
      </c>
      <c r="Q53" s="6" t="n">
        <f aca="false">IF(N52=0,"",(N53-N52)/N52*100)</f>
        <v>9.22107674684994</v>
      </c>
    </row>
    <row r="54" customFormat="false" ht="15" hidden="false" customHeight="false" outlineLevel="0" collapsed="false">
      <c r="B54" s="4" t="s">
        <v>73</v>
      </c>
      <c r="C54" s="4" t="s">
        <v>37</v>
      </c>
      <c r="D54" s="5" t="n">
        <v>0</v>
      </c>
      <c r="E54" s="6" t="n">
        <v>55.27</v>
      </c>
      <c r="F54" s="6" t="n">
        <v>95.06</v>
      </c>
      <c r="G54" s="6" t="n">
        <v>96.7</v>
      </c>
      <c r="H54" s="6" t="n">
        <v>100.86</v>
      </c>
      <c r="I54" s="7" t="n">
        <v>2732835.1</v>
      </c>
      <c r="J54" s="6" t="n">
        <v>86.97</v>
      </c>
      <c r="K54" s="8" t="n">
        <v>7263</v>
      </c>
      <c r="L54" s="7" t="n">
        <v>80894.6</v>
      </c>
      <c r="M54" s="7" t="n">
        <v>862766.5</v>
      </c>
      <c r="N54" s="9" t="n">
        <v>862.77</v>
      </c>
      <c r="O54" s="8" t="n">
        <v>79431</v>
      </c>
      <c r="P54" s="10" t="n">
        <f aca="false">VALUE(LEFT(B54,4))</f>
        <v>2019</v>
      </c>
      <c r="Q54" s="6" t="n">
        <f aca="false">IF(N53=0,"",(N54-N53)/N53*100)</f>
        <v>10.3469886298234</v>
      </c>
    </row>
    <row r="55" customFormat="false" ht="15" hidden="false" customHeight="false" outlineLevel="0" collapsed="false">
      <c r="B55" s="4" t="s">
        <v>74</v>
      </c>
      <c r="C55" s="4" t="s">
        <v>35</v>
      </c>
      <c r="D55" s="5" t="n">
        <v>1</v>
      </c>
      <c r="E55" s="6" t="n">
        <v>57.47</v>
      </c>
      <c r="F55" s="6" t="n">
        <v>88.42</v>
      </c>
      <c r="G55" s="6" t="n">
        <v>96.95</v>
      </c>
      <c r="H55" s="6" t="n">
        <v>162.81</v>
      </c>
      <c r="I55" s="7" t="n">
        <v>2306639</v>
      </c>
      <c r="J55" s="6" t="n">
        <v>101.41</v>
      </c>
      <c r="K55" s="8" t="n">
        <v>8547</v>
      </c>
      <c r="L55" s="7" t="n">
        <v>98476.6</v>
      </c>
      <c r="M55" s="7" t="n">
        <v>961243.1</v>
      </c>
      <c r="N55" s="9" t="n">
        <v>961.24</v>
      </c>
      <c r="O55" s="8" t="n">
        <v>87978</v>
      </c>
      <c r="P55" s="10" t="n">
        <f aca="false">VALUE(LEFT(B55,4))</f>
        <v>2019</v>
      </c>
      <c r="Q55" s="6" t="n">
        <f aca="false">IF(N54=0,"",(N55-N54)/N54*100)</f>
        <v>11.4132387542451</v>
      </c>
    </row>
    <row r="56" customFormat="false" ht="15" hidden="false" customHeight="false" outlineLevel="0" collapsed="false">
      <c r="B56" s="4" t="s">
        <v>75</v>
      </c>
      <c r="C56" s="4" t="s">
        <v>37</v>
      </c>
      <c r="D56" s="5" t="n">
        <v>0</v>
      </c>
      <c r="E56" s="6" t="n">
        <v>50.99</v>
      </c>
      <c r="F56" s="6" t="n">
        <v>84.24</v>
      </c>
      <c r="G56" s="6" t="n">
        <v>95.7</v>
      </c>
      <c r="H56" s="6" t="n">
        <v>156.29</v>
      </c>
      <c r="I56" s="7" t="n">
        <v>1763525.8</v>
      </c>
      <c r="J56" s="6" t="n">
        <v>96.8</v>
      </c>
      <c r="K56" s="8" t="n">
        <v>7308</v>
      </c>
      <c r="L56" s="7" t="n">
        <v>84558.1</v>
      </c>
      <c r="M56" s="7" t="n">
        <v>1045801.2</v>
      </c>
      <c r="N56" s="9" t="n">
        <v>1045.8</v>
      </c>
      <c r="O56" s="8" t="n">
        <v>95286</v>
      </c>
      <c r="P56" s="10" t="n">
        <f aca="false">VALUE(LEFT(B56,4))</f>
        <v>2019</v>
      </c>
      <c r="Q56" s="6" t="n">
        <f aca="false">IF(N55=0,"",(N56-N55)/N55*100)</f>
        <v>8.79697057966792</v>
      </c>
    </row>
    <row r="57" customFormat="false" ht="15" hidden="false" customHeight="false" outlineLevel="0" collapsed="false">
      <c r="B57" s="4" t="s">
        <v>76</v>
      </c>
      <c r="C57" s="4" t="s">
        <v>35</v>
      </c>
      <c r="D57" s="5" t="n">
        <v>1</v>
      </c>
      <c r="E57" s="6" t="n">
        <v>48.79</v>
      </c>
      <c r="F57" s="6" t="n">
        <v>83.56</v>
      </c>
      <c r="G57" s="6" t="n">
        <v>85.68</v>
      </c>
      <c r="H57" s="6" t="n">
        <v>64.24</v>
      </c>
      <c r="I57" s="7" t="n">
        <v>1093830.1</v>
      </c>
      <c r="J57" s="6" t="n">
        <v>70.57</v>
      </c>
      <c r="K57" s="8" t="n">
        <v>9427</v>
      </c>
      <c r="L57" s="7" t="n">
        <v>121786.8</v>
      </c>
      <c r="M57" s="7" t="n">
        <v>1167588</v>
      </c>
      <c r="N57" s="9" t="n">
        <v>1167.59</v>
      </c>
      <c r="O57" s="8" t="n">
        <v>104713</v>
      </c>
      <c r="P57" s="10" t="n">
        <f aca="false">VALUE(LEFT(B57,4))</f>
        <v>2019</v>
      </c>
      <c r="Q57" s="6" t="n">
        <f aca="false">IF(N56=0,"",(N57-N56)/N56*100)</f>
        <v>11.645630139606</v>
      </c>
    </row>
    <row r="58" customFormat="false" ht="15" hidden="false" customHeight="false" outlineLevel="0" collapsed="false">
      <c r="B58" s="4" t="s">
        <v>77</v>
      </c>
      <c r="C58" s="4" t="s">
        <v>19</v>
      </c>
      <c r="D58" s="5" t="n">
        <v>2</v>
      </c>
      <c r="E58" s="6" t="n">
        <v>48.63</v>
      </c>
      <c r="F58" s="6" t="n">
        <v>77.63</v>
      </c>
      <c r="G58" s="6" t="n">
        <v>79.92</v>
      </c>
      <c r="H58" s="6" t="n">
        <v>28.32</v>
      </c>
      <c r="I58" s="7" t="n">
        <v>724888.3</v>
      </c>
      <c r="J58" s="6" t="n">
        <v>58.63</v>
      </c>
      <c r="K58" s="8" t="n">
        <v>9915</v>
      </c>
      <c r="L58" s="7" t="n">
        <v>127850.9</v>
      </c>
      <c r="M58" s="7" t="n">
        <v>1295438.8</v>
      </c>
      <c r="N58" s="9" t="n">
        <v>1295.44</v>
      </c>
      <c r="O58" s="8" t="n">
        <v>114628</v>
      </c>
      <c r="P58" s="10" t="n">
        <f aca="false">VALUE(LEFT(B58,4))</f>
        <v>2019</v>
      </c>
      <c r="Q58" s="6" t="n">
        <f aca="false">IF(N57=0,"",(N58-N57)/N57*100)</f>
        <v>10.9499053606146</v>
      </c>
    </row>
    <row r="59" customFormat="false" ht="15" hidden="false" customHeight="false" outlineLevel="0" collapsed="false">
      <c r="B59" s="4" t="s">
        <v>78</v>
      </c>
      <c r="C59" s="4" t="s">
        <v>19</v>
      </c>
      <c r="D59" s="5" t="n">
        <v>2</v>
      </c>
      <c r="E59" s="6" t="n">
        <v>43.72</v>
      </c>
      <c r="F59" s="6" t="n">
        <v>68.22</v>
      </c>
      <c r="G59" s="6" t="n">
        <v>69.82</v>
      </c>
      <c r="H59" s="6" t="n">
        <v>27.83</v>
      </c>
      <c r="I59" s="7" t="n">
        <v>597246.5</v>
      </c>
      <c r="J59" s="6" t="n">
        <v>52.4</v>
      </c>
      <c r="K59" s="8" t="n">
        <v>9768</v>
      </c>
      <c r="L59" s="7" t="n">
        <v>127261.4</v>
      </c>
      <c r="M59" s="7" t="n">
        <v>1422700.2</v>
      </c>
      <c r="N59" s="9" t="n">
        <v>1422.7</v>
      </c>
      <c r="O59" s="8" t="n">
        <v>124396</v>
      </c>
      <c r="P59" s="10" t="n">
        <f aca="false">VALUE(LEFT(B59,4))</f>
        <v>2019</v>
      </c>
      <c r="Q59" s="6" t="n">
        <f aca="false">IF(N58=0,"",(N59-N58)/N58*100)</f>
        <v>9.82368924844068</v>
      </c>
    </row>
    <row r="60" customFormat="false" ht="15" hidden="false" customHeight="false" outlineLevel="0" collapsed="false">
      <c r="B60" s="4" t="s">
        <v>79</v>
      </c>
      <c r="C60" s="4" t="s">
        <v>35</v>
      </c>
      <c r="D60" s="5" t="n">
        <v>1</v>
      </c>
      <c r="E60" s="6" t="n">
        <v>31.36</v>
      </c>
      <c r="F60" s="6" t="n">
        <v>73.15</v>
      </c>
      <c r="G60" s="6" t="n">
        <v>58.55</v>
      </c>
      <c r="H60" s="6" t="n">
        <v>39.9</v>
      </c>
      <c r="I60" s="7" t="n">
        <v>682354.2</v>
      </c>
      <c r="J60" s="6" t="n">
        <v>50.74</v>
      </c>
      <c r="K60" s="8" t="n">
        <v>12252</v>
      </c>
      <c r="L60" s="7" t="n">
        <v>146503.1</v>
      </c>
      <c r="M60" s="7" t="n">
        <v>1569203.3</v>
      </c>
      <c r="N60" s="9" t="n">
        <v>1569.2</v>
      </c>
      <c r="O60" s="8" t="n">
        <v>136648</v>
      </c>
      <c r="P60" s="10" t="n">
        <f aca="false">VALUE(LEFT(B60,4))</f>
        <v>2019</v>
      </c>
      <c r="Q60" s="6" t="n">
        <f aca="false">IF(N59=0,"",(N60-N59)/N59*100)</f>
        <v>10.2973219933928</v>
      </c>
    </row>
    <row r="61" customFormat="false" ht="15" hidden="false" customHeight="false" outlineLevel="0" collapsed="false">
      <c r="B61" s="4" t="s">
        <v>80</v>
      </c>
      <c r="C61" s="4" t="s">
        <v>19</v>
      </c>
      <c r="D61" s="5" t="n">
        <v>2</v>
      </c>
      <c r="E61" s="6" t="n">
        <v>24.22</v>
      </c>
      <c r="F61" s="6" t="n">
        <v>64.25</v>
      </c>
      <c r="G61" s="6" t="n">
        <v>62.72</v>
      </c>
      <c r="H61" s="6" t="n">
        <v>98.43</v>
      </c>
      <c r="I61" s="7" t="n">
        <v>989330.4</v>
      </c>
      <c r="J61" s="6" t="n">
        <v>62.41</v>
      </c>
      <c r="K61" s="8" t="n">
        <v>12195</v>
      </c>
      <c r="L61" s="7" t="n">
        <v>154552.7</v>
      </c>
      <c r="M61" s="7" t="n">
        <v>1723756.1</v>
      </c>
      <c r="N61" s="9" t="n">
        <v>1723.76</v>
      </c>
      <c r="O61" s="8" t="n">
        <v>148843</v>
      </c>
      <c r="P61" s="10" t="n">
        <f aca="false">VALUE(LEFT(B61,4))</f>
        <v>2019</v>
      </c>
      <c r="Q61" s="6" t="n">
        <f aca="false">IF(N60=0,"",(N61-N60)/N60*100)</f>
        <v>9.84960489421361</v>
      </c>
    </row>
    <row r="62" customFormat="false" ht="15" hidden="false" customHeight="false" outlineLevel="0" collapsed="false">
      <c r="B62" s="4" t="s">
        <v>81</v>
      </c>
      <c r="C62" s="4" t="s">
        <v>35</v>
      </c>
      <c r="D62" s="5" t="n">
        <v>1</v>
      </c>
      <c r="E62" s="6" t="n">
        <v>47.39</v>
      </c>
      <c r="F62" s="6" t="n">
        <v>52.79</v>
      </c>
      <c r="G62" s="6" t="n">
        <v>82.05</v>
      </c>
      <c r="H62" s="6" t="n">
        <v>59.96</v>
      </c>
      <c r="I62" s="7" t="n">
        <v>1645249.1</v>
      </c>
      <c r="J62" s="6" t="n">
        <v>60.55</v>
      </c>
      <c r="K62" s="8" t="n">
        <v>16948</v>
      </c>
      <c r="L62" s="7" t="n">
        <v>215731.6</v>
      </c>
      <c r="M62" s="7" t="n">
        <v>1939487.7</v>
      </c>
      <c r="N62" s="9" t="n">
        <v>1939.49</v>
      </c>
      <c r="O62" s="8" t="n">
        <v>165791</v>
      </c>
      <c r="P62" s="10" t="n">
        <f aca="false">VALUE(LEFT(B62,4))</f>
        <v>2019</v>
      </c>
      <c r="Q62" s="6" t="n">
        <f aca="false">IF(N61=0,"",(N62-N61)/N61*100)</f>
        <v>12.5150833062607</v>
      </c>
    </row>
    <row r="63" customFormat="false" ht="15" hidden="false" customHeight="false" outlineLevel="0" collapsed="false">
      <c r="B63" s="4" t="s">
        <v>82</v>
      </c>
      <c r="C63" s="4" t="s">
        <v>35</v>
      </c>
      <c r="D63" s="5" t="n">
        <v>1</v>
      </c>
      <c r="E63" s="6" t="n">
        <v>44.83</v>
      </c>
      <c r="F63" s="6" t="n">
        <v>60.61</v>
      </c>
      <c r="G63" s="6" t="n">
        <v>74.8</v>
      </c>
      <c r="H63" s="6" t="n">
        <v>44.71</v>
      </c>
      <c r="I63" s="7" t="n">
        <v>2110508.3</v>
      </c>
      <c r="J63" s="6" t="n">
        <v>56.24</v>
      </c>
      <c r="K63" s="8" t="n">
        <v>17056</v>
      </c>
      <c r="L63" s="7" t="n">
        <v>219548.9</v>
      </c>
      <c r="M63" s="7" t="n">
        <v>2159036.6</v>
      </c>
      <c r="N63" s="9" t="n">
        <v>2159.04</v>
      </c>
      <c r="O63" s="8" t="n">
        <v>182847</v>
      </c>
      <c r="P63" s="10" t="n">
        <f aca="false">VALUE(LEFT(B63,4))</f>
        <v>2020</v>
      </c>
      <c r="Q63" s="6" t="n">
        <f aca="false">IF(N62=0,"",(N63-N62)/N62*100)</f>
        <v>11.3199861819344</v>
      </c>
    </row>
    <row r="64" customFormat="false" ht="15" hidden="false" customHeight="false" outlineLevel="0" collapsed="false">
      <c r="B64" s="4" t="s">
        <v>83</v>
      </c>
      <c r="C64" s="4" t="s">
        <v>37</v>
      </c>
      <c r="D64" s="5" t="n">
        <v>0</v>
      </c>
      <c r="E64" s="6" t="n">
        <v>81.83</v>
      </c>
      <c r="F64" s="6" t="n">
        <v>76</v>
      </c>
      <c r="G64" s="6" t="n">
        <v>105.15</v>
      </c>
      <c r="H64" s="6" t="n">
        <v>32.54</v>
      </c>
      <c r="I64" s="7" t="n">
        <v>3066743</v>
      </c>
      <c r="J64" s="6" t="n">
        <v>73.88</v>
      </c>
      <c r="K64" s="8" t="n">
        <v>15487</v>
      </c>
      <c r="L64" s="7" t="n">
        <v>199272.5</v>
      </c>
      <c r="M64" s="7" t="n">
        <v>2358309.1</v>
      </c>
      <c r="N64" s="9" t="n">
        <v>2358.31</v>
      </c>
      <c r="O64" s="8" t="n">
        <v>198334</v>
      </c>
      <c r="P64" s="10" t="n">
        <f aca="false">VALUE(LEFT(B64,4))</f>
        <v>2020</v>
      </c>
      <c r="Q64" s="6" t="n">
        <f aca="false">IF(N63=0,"",(N64-N63)/N63*100)</f>
        <v>9.22956499184823</v>
      </c>
    </row>
    <row r="65" customFormat="false" ht="15" hidden="false" customHeight="false" outlineLevel="0" collapsed="false">
      <c r="B65" s="4" t="s">
        <v>84</v>
      </c>
      <c r="C65" s="4" t="s">
        <v>37</v>
      </c>
      <c r="D65" s="5" t="n">
        <v>0</v>
      </c>
      <c r="E65" s="6" t="n">
        <v>96.43</v>
      </c>
      <c r="F65" s="6" t="n">
        <v>110.71</v>
      </c>
      <c r="G65" s="6" t="n">
        <v>102.87</v>
      </c>
      <c r="H65" s="6" t="n">
        <v>25.95</v>
      </c>
      <c r="I65" s="7" t="n">
        <v>3593318.6</v>
      </c>
      <c r="J65" s="6" t="n">
        <v>83.99</v>
      </c>
      <c r="K65" s="8" t="n">
        <v>14095</v>
      </c>
      <c r="L65" s="7" t="n">
        <v>180515.8</v>
      </c>
      <c r="M65" s="7" t="n">
        <v>2538824.9</v>
      </c>
      <c r="N65" s="9" t="n">
        <v>2538.82</v>
      </c>
      <c r="O65" s="8" t="n">
        <v>212429</v>
      </c>
      <c r="P65" s="10" t="n">
        <f aca="false">VALUE(LEFT(B65,4))</f>
        <v>2020</v>
      </c>
      <c r="Q65" s="6" t="n">
        <f aca="false">IF(N64=0,"",(N65-N64)/N64*100)</f>
        <v>7.65421000631809</v>
      </c>
    </row>
    <row r="66" customFormat="false" ht="15" hidden="false" customHeight="false" outlineLevel="0" collapsed="false">
      <c r="B66" s="4" t="s">
        <v>85</v>
      </c>
      <c r="C66" s="4" t="s">
        <v>37</v>
      </c>
      <c r="D66" s="5" t="n">
        <v>0</v>
      </c>
      <c r="E66" s="6" t="n">
        <v>102.19</v>
      </c>
      <c r="F66" s="6" t="n">
        <v>113.75</v>
      </c>
      <c r="G66" s="6" t="n">
        <v>86.85</v>
      </c>
      <c r="H66" s="6" t="n">
        <v>15.54</v>
      </c>
      <c r="I66" s="7" t="n">
        <v>2731912.2</v>
      </c>
      <c r="J66" s="6" t="n">
        <v>79.58</v>
      </c>
      <c r="K66" s="8" t="n">
        <v>10504</v>
      </c>
      <c r="L66" s="7" t="n">
        <v>138264.6</v>
      </c>
      <c r="M66" s="7" t="n">
        <v>2677089.5</v>
      </c>
      <c r="N66" s="9" t="n">
        <v>2677.09</v>
      </c>
      <c r="O66" s="8" t="n">
        <v>222933</v>
      </c>
      <c r="P66" s="10" t="n">
        <f aca="false">VALUE(LEFT(B66,4))</f>
        <v>2020</v>
      </c>
      <c r="Q66" s="6" t="n">
        <f aca="false">IF(N65=0,"",(N66-N65)/N65*100)</f>
        <v>5.4462309261783</v>
      </c>
    </row>
    <row r="67" customFormat="false" ht="15" hidden="false" customHeight="false" outlineLevel="0" collapsed="false">
      <c r="B67" s="4" t="s">
        <v>86</v>
      </c>
      <c r="C67" s="4" t="s">
        <v>37</v>
      </c>
      <c r="D67" s="5" t="n">
        <v>0</v>
      </c>
      <c r="E67" s="6" t="n">
        <v>80.47</v>
      </c>
      <c r="F67" s="6" t="n">
        <v>117.78</v>
      </c>
      <c r="G67" s="6" t="n">
        <v>79.65</v>
      </c>
      <c r="H67" s="6" t="n">
        <v>20.21</v>
      </c>
      <c r="I67" s="7" t="n">
        <v>1959896.1</v>
      </c>
      <c r="J67" s="6" t="n">
        <v>74.53</v>
      </c>
      <c r="K67" s="8" t="n">
        <v>9435</v>
      </c>
      <c r="L67" s="7" t="n">
        <v>133096.5</v>
      </c>
      <c r="M67" s="7" t="n">
        <v>2810186</v>
      </c>
      <c r="N67" s="9" t="n">
        <v>2810.19</v>
      </c>
      <c r="O67" s="8" t="n">
        <v>232368</v>
      </c>
      <c r="P67" s="10" t="n">
        <f aca="false">VALUE(LEFT(B67,4))</f>
        <v>2020</v>
      </c>
      <c r="Q67" s="6" t="n">
        <f aca="false">IF(N66=0,"",(N67-N66)/N66*100)</f>
        <v>4.97181641259726</v>
      </c>
    </row>
    <row r="68" customFormat="false" ht="15" hidden="false" customHeight="false" outlineLevel="0" collapsed="false">
      <c r="B68" s="4" t="s">
        <v>87</v>
      </c>
      <c r="C68" s="4" t="s">
        <v>37</v>
      </c>
      <c r="D68" s="5" t="n">
        <v>0</v>
      </c>
      <c r="E68" s="6" t="n">
        <v>74.26</v>
      </c>
      <c r="F68" s="6" t="n">
        <v>116.24</v>
      </c>
      <c r="G68" s="6" t="n">
        <v>77.16</v>
      </c>
      <c r="H68" s="6" t="n">
        <v>67.64</v>
      </c>
      <c r="I68" s="7" t="n">
        <v>1444084.1</v>
      </c>
      <c r="J68" s="6" t="n">
        <v>83.83</v>
      </c>
      <c r="K68" s="8" t="n">
        <v>12620</v>
      </c>
      <c r="L68" s="7" t="n">
        <v>182434</v>
      </c>
      <c r="M68" s="7" t="n">
        <v>2992620</v>
      </c>
      <c r="N68" s="9" t="n">
        <v>2992.62</v>
      </c>
      <c r="O68" s="8" t="n">
        <v>244988</v>
      </c>
      <c r="P68" s="10" t="n">
        <f aca="false">VALUE(LEFT(B68,4))</f>
        <v>2020</v>
      </c>
      <c r="Q68" s="6" t="n">
        <f aca="false">IF(N67=0,"",(N68-N67)/N67*100)</f>
        <v>6.49173187578063</v>
      </c>
    </row>
    <row r="69" customFormat="false" ht="15" hidden="false" customHeight="false" outlineLevel="0" collapsed="false">
      <c r="B69" s="4" t="s">
        <v>88</v>
      </c>
      <c r="C69" s="4" t="s">
        <v>37</v>
      </c>
      <c r="D69" s="5" t="n">
        <v>0</v>
      </c>
      <c r="E69" s="6" t="n">
        <v>64.19</v>
      </c>
      <c r="F69" s="6" t="n">
        <v>108.53</v>
      </c>
      <c r="G69" s="6" t="n">
        <v>79.43</v>
      </c>
      <c r="H69" s="6" t="n">
        <v>121.67</v>
      </c>
      <c r="I69" s="7" t="n">
        <v>1298578.9</v>
      </c>
      <c r="J69" s="6" t="n">
        <v>93.46</v>
      </c>
      <c r="K69" s="8" t="n">
        <v>14606</v>
      </c>
      <c r="L69" s="7" t="n">
        <v>197149</v>
      </c>
      <c r="M69" s="7" t="n">
        <v>3189769</v>
      </c>
      <c r="N69" s="9" t="n">
        <v>3189.77</v>
      </c>
      <c r="O69" s="8" t="n">
        <v>259594</v>
      </c>
      <c r="P69" s="10" t="n">
        <f aca="false">VALUE(LEFT(B69,4))</f>
        <v>2020</v>
      </c>
      <c r="Q69" s="6" t="n">
        <f aca="false">IF(N68=0,"",(N69-N68)/N68*100)</f>
        <v>6.58787283383791</v>
      </c>
    </row>
    <row r="70" customFormat="false" ht="15" hidden="false" customHeight="false" outlineLevel="0" collapsed="false">
      <c r="B70" s="4" t="s">
        <v>89</v>
      </c>
      <c r="C70" s="4" t="s">
        <v>37</v>
      </c>
      <c r="D70" s="5" t="n">
        <v>0</v>
      </c>
      <c r="E70" s="6" t="n">
        <v>66.18</v>
      </c>
      <c r="F70" s="6" t="n">
        <v>95.02</v>
      </c>
      <c r="G70" s="6" t="n">
        <v>85.14</v>
      </c>
      <c r="H70" s="6" t="n">
        <v>97.36</v>
      </c>
      <c r="I70" s="7" t="n">
        <v>1007809.6</v>
      </c>
      <c r="J70" s="6" t="n">
        <v>85.93</v>
      </c>
      <c r="K70" s="8" t="n">
        <v>14639</v>
      </c>
      <c r="L70" s="7" t="n">
        <v>180524.3</v>
      </c>
      <c r="M70" s="7" t="n">
        <v>3370293.2</v>
      </c>
      <c r="N70" s="9" t="n">
        <v>3370.29</v>
      </c>
      <c r="O70" s="8" t="n">
        <v>274233</v>
      </c>
      <c r="P70" s="10" t="n">
        <f aca="false">VALUE(LEFT(B70,4))</f>
        <v>2020</v>
      </c>
      <c r="Q70" s="6" t="n">
        <f aca="false">IF(N69=0,"",(N70-N69)/N69*100)</f>
        <v>5.6593422096264</v>
      </c>
    </row>
    <row r="71" customFormat="false" ht="15" hidden="false" customHeight="false" outlineLevel="0" collapsed="false">
      <c r="B71" s="4" t="s">
        <v>90</v>
      </c>
      <c r="C71" s="4" t="s">
        <v>37</v>
      </c>
      <c r="D71" s="5" t="n">
        <v>0</v>
      </c>
      <c r="E71" s="6" t="n">
        <v>58.88</v>
      </c>
      <c r="F71" s="6" t="n">
        <v>99.86</v>
      </c>
      <c r="G71" s="6" t="n">
        <v>66.03</v>
      </c>
      <c r="H71" s="6" t="n">
        <v>43.28</v>
      </c>
      <c r="I71" s="7" t="n">
        <v>663693.3</v>
      </c>
      <c r="J71" s="6" t="n">
        <v>67.01</v>
      </c>
      <c r="K71" s="8" t="n">
        <v>14495</v>
      </c>
      <c r="L71" s="7" t="n">
        <v>202117.2</v>
      </c>
      <c r="M71" s="7" t="n">
        <v>3572410.4</v>
      </c>
      <c r="N71" s="9" t="n">
        <v>3572.41</v>
      </c>
      <c r="O71" s="8" t="n">
        <v>288728</v>
      </c>
      <c r="P71" s="10" t="n">
        <f aca="false">VALUE(LEFT(B71,4))</f>
        <v>2020</v>
      </c>
      <c r="Q71" s="6" t="n">
        <f aca="false">IF(N70=0,"",(N71-N70)/N70*100)</f>
        <v>5.9971100409757</v>
      </c>
    </row>
    <row r="72" customFormat="false" ht="15" hidden="false" customHeight="false" outlineLevel="0" collapsed="false">
      <c r="B72" s="4" t="s">
        <v>91</v>
      </c>
      <c r="C72" s="4" t="s">
        <v>37</v>
      </c>
      <c r="D72" s="5" t="n">
        <v>0</v>
      </c>
      <c r="E72" s="6" t="n">
        <v>55.95</v>
      </c>
      <c r="F72" s="6" t="n">
        <v>76.94</v>
      </c>
      <c r="G72" s="6" t="n">
        <v>52.84</v>
      </c>
      <c r="H72" s="6" t="n">
        <v>20.63</v>
      </c>
      <c r="I72" s="7" t="n">
        <v>586242.4</v>
      </c>
      <c r="J72" s="6" t="n">
        <v>51.59</v>
      </c>
      <c r="K72" s="8" t="n">
        <v>18948</v>
      </c>
      <c r="L72" s="7" t="n">
        <v>249716.2</v>
      </c>
      <c r="M72" s="7" t="n">
        <v>3822126.6</v>
      </c>
      <c r="N72" s="9" t="n">
        <v>3822.13</v>
      </c>
      <c r="O72" s="8" t="n">
        <v>307676</v>
      </c>
      <c r="P72" s="10" t="n">
        <f aca="false">VALUE(LEFT(B72,4))</f>
        <v>2020</v>
      </c>
      <c r="Q72" s="6" t="n">
        <f aca="false">IF(N71=0,"",(N72-N71)/N71*100)</f>
        <v>6.99023908230019</v>
      </c>
    </row>
    <row r="73" customFormat="false" ht="15" hidden="false" customHeight="false" outlineLevel="0" collapsed="false">
      <c r="B73" s="4" t="s">
        <v>92</v>
      </c>
      <c r="C73" s="4" t="s">
        <v>37</v>
      </c>
      <c r="D73" s="5" t="n">
        <v>0</v>
      </c>
      <c r="E73" s="6" t="n">
        <v>88.24</v>
      </c>
      <c r="F73" s="6" t="n">
        <v>100.02</v>
      </c>
      <c r="G73" s="6" t="n">
        <v>59.91</v>
      </c>
      <c r="H73" s="6" t="n">
        <v>21.63</v>
      </c>
      <c r="I73" s="7" t="n">
        <v>887412.3</v>
      </c>
      <c r="J73" s="6" t="n">
        <v>67.45</v>
      </c>
      <c r="K73" s="8" t="n">
        <v>21747</v>
      </c>
      <c r="L73" s="7" t="n">
        <v>256657.9</v>
      </c>
      <c r="M73" s="7" t="n">
        <v>4078784.5</v>
      </c>
      <c r="N73" s="9" t="n">
        <v>4078.78</v>
      </c>
      <c r="O73" s="8" t="n">
        <v>329423</v>
      </c>
      <c r="P73" s="10" t="n">
        <f aca="false">VALUE(LEFT(B73,4))</f>
        <v>2020</v>
      </c>
      <c r="Q73" s="6" t="n">
        <f aca="false">IF(N72=0,"",(N73-N72)/N72*100)</f>
        <v>6.71484224764726</v>
      </c>
    </row>
    <row r="74" customFormat="false" ht="15" hidden="false" customHeight="false" outlineLevel="0" collapsed="false">
      <c r="B74" s="4" t="s">
        <v>93</v>
      </c>
      <c r="C74" s="4" t="s">
        <v>33</v>
      </c>
      <c r="D74" s="5" t="n">
        <v>3</v>
      </c>
      <c r="E74" s="6" t="n">
        <v>45.61</v>
      </c>
      <c r="F74" s="6" t="n">
        <v>64.42</v>
      </c>
      <c r="G74" s="6" t="n">
        <v>63.57</v>
      </c>
      <c r="H74" s="6" t="n">
        <v>93.41</v>
      </c>
      <c r="I74" s="7" t="n">
        <v>1467166.3</v>
      </c>
      <c r="J74" s="6" t="n">
        <v>66.75</v>
      </c>
      <c r="K74" s="8" t="n">
        <v>24596</v>
      </c>
      <c r="L74" s="7" t="n">
        <v>282362.1</v>
      </c>
      <c r="M74" s="7" t="n">
        <v>4361146.7</v>
      </c>
      <c r="N74" s="9" t="n">
        <v>4361.15</v>
      </c>
      <c r="O74" s="8" t="n">
        <v>354019</v>
      </c>
      <c r="P74" s="10" t="n">
        <f aca="false">VALUE(LEFT(B74,4))</f>
        <v>2020</v>
      </c>
      <c r="Q74" s="6" t="n">
        <f aca="false">IF(N73=0,"",(N74-N73)/N73*100)</f>
        <v>6.92290341719827</v>
      </c>
    </row>
    <row r="75" customFormat="false" ht="15" hidden="false" customHeight="false" outlineLevel="0" collapsed="false">
      <c r="B75" s="4" t="s">
        <v>94</v>
      </c>
      <c r="C75" s="4" t="s">
        <v>35</v>
      </c>
      <c r="D75" s="5" t="n">
        <v>1</v>
      </c>
      <c r="E75" s="6" t="n">
        <v>46.97</v>
      </c>
      <c r="F75" s="6" t="n">
        <v>46.28</v>
      </c>
      <c r="G75" s="6" t="n">
        <v>69.89</v>
      </c>
      <c r="H75" s="6" t="n">
        <v>154.32</v>
      </c>
      <c r="I75" s="7" t="n">
        <v>2203890.8</v>
      </c>
      <c r="J75" s="6" t="n">
        <v>79.37</v>
      </c>
      <c r="K75" s="8" t="n">
        <v>20714</v>
      </c>
      <c r="L75" s="7" t="n">
        <v>259841.5</v>
      </c>
      <c r="M75" s="7" t="n">
        <v>4620988.2</v>
      </c>
      <c r="N75" s="9" t="n">
        <v>4620.99</v>
      </c>
      <c r="O75" s="8" t="n">
        <v>374733</v>
      </c>
      <c r="P75" s="10" t="n">
        <f aca="false">VALUE(LEFT(B75,4))</f>
        <v>2021</v>
      </c>
      <c r="Q75" s="6" t="n">
        <f aca="false">IF(N74=0,"",(N75-N74)/N74*100)</f>
        <v>5.95806152047052</v>
      </c>
    </row>
    <row r="76" customFormat="false" ht="15" hidden="false" customHeight="false" outlineLevel="0" collapsed="false">
      <c r="B76" s="4" t="s">
        <v>95</v>
      </c>
      <c r="C76" s="4" t="s">
        <v>35</v>
      </c>
      <c r="D76" s="5" t="n">
        <v>1</v>
      </c>
      <c r="E76" s="6" t="n">
        <v>42.45</v>
      </c>
      <c r="F76" s="6" t="n">
        <v>63.74</v>
      </c>
      <c r="G76" s="6" t="n">
        <v>72.49</v>
      </c>
      <c r="H76" s="6" t="n">
        <v>122.89</v>
      </c>
      <c r="I76" s="7" t="n">
        <v>2295069.1</v>
      </c>
      <c r="J76" s="6" t="n">
        <v>75.39</v>
      </c>
      <c r="K76" s="8" t="n">
        <v>24016</v>
      </c>
      <c r="L76" s="7" t="n">
        <v>249865.3</v>
      </c>
      <c r="M76" s="7" t="n">
        <v>4870853.5</v>
      </c>
      <c r="N76" s="9" t="n">
        <v>4870.85</v>
      </c>
      <c r="O76" s="8" t="n">
        <v>398749</v>
      </c>
      <c r="P76" s="10" t="n">
        <f aca="false">VALUE(LEFT(B76,4))</f>
        <v>2021</v>
      </c>
      <c r="Q76" s="6" t="n">
        <f aca="false">IF(N75=0,"",(N76-N75)/N75*100)</f>
        <v>5.40706645112845</v>
      </c>
    </row>
    <row r="77" customFormat="false" ht="15" hidden="false" customHeight="false" outlineLevel="0" collapsed="false">
      <c r="B77" s="4" t="s">
        <v>96</v>
      </c>
      <c r="C77" s="4" t="s">
        <v>35</v>
      </c>
      <c r="D77" s="5" t="n">
        <v>1</v>
      </c>
      <c r="E77" s="6" t="n">
        <v>69.7</v>
      </c>
      <c r="F77" s="6" t="n">
        <v>110.79</v>
      </c>
      <c r="G77" s="6" t="n">
        <v>74.66</v>
      </c>
      <c r="H77" s="6" t="n">
        <v>69.96</v>
      </c>
      <c r="I77" s="7" t="n">
        <v>2979058</v>
      </c>
      <c r="J77" s="6" t="n">
        <v>81.27</v>
      </c>
      <c r="K77" s="8" t="n">
        <v>31034</v>
      </c>
      <c r="L77" s="7" t="n">
        <v>341524.6</v>
      </c>
      <c r="M77" s="7" t="n">
        <v>5212378.1</v>
      </c>
      <c r="N77" s="9" t="n">
        <v>5212.38</v>
      </c>
      <c r="O77" s="8" t="n">
        <v>429783</v>
      </c>
      <c r="P77" s="10" t="n">
        <f aca="false">VALUE(LEFT(B77,4))</f>
        <v>2021</v>
      </c>
      <c r="Q77" s="6" t="n">
        <f aca="false">IF(N76=0,"",(N77-N76)/N76*100)</f>
        <v>7.01171253477319</v>
      </c>
    </row>
    <row r="78" customFormat="false" ht="15" hidden="false" customHeight="false" outlineLevel="0" collapsed="false">
      <c r="B78" s="4" t="s">
        <v>97</v>
      </c>
      <c r="C78" s="4" t="s">
        <v>35</v>
      </c>
      <c r="D78" s="5" t="n">
        <v>1</v>
      </c>
      <c r="E78" s="6" t="n">
        <v>34.63</v>
      </c>
      <c r="F78" s="6" t="n">
        <v>82.78</v>
      </c>
      <c r="G78" s="6" t="n">
        <v>63.44</v>
      </c>
      <c r="H78" s="6" t="n">
        <v>35.09</v>
      </c>
      <c r="I78" s="7" t="n">
        <v>1904996</v>
      </c>
      <c r="J78" s="6" t="n">
        <v>53.98</v>
      </c>
      <c r="K78" s="8" t="n">
        <v>26178</v>
      </c>
      <c r="L78" s="7" t="n">
        <v>272334.6</v>
      </c>
      <c r="M78" s="7" t="n">
        <v>5484712.7</v>
      </c>
      <c r="N78" s="9" t="n">
        <v>5484.71</v>
      </c>
      <c r="O78" s="8" t="n">
        <v>455961</v>
      </c>
      <c r="P78" s="10" t="n">
        <f aca="false">VALUE(LEFT(B78,4))</f>
        <v>2021</v>
      </c>
      <c r="Q78" s="6" t="n">
        <f aca="false">IF(N77=0,"",(N78-N77)/N77*100)</f>
        <v>5.22467663524148</v>
      </c>
    </row>
    <row r="79" customFormat="false" ht="15" hidden="false" customHeight="false" outlineLevel="0" collapsed="false">
      <c r="B79" s="4" t="s">
        <v>98</v>
      </c>
      <c r="C79" s="4" t="s">
        <v>19</v>
      </c>
      <c r="D79" s="5" t="n">
        <v>2</v>
      </c>
      <c r="E79" s="6" t="n">
        <v>36.9</v>
      </c>
      <c r="F79" s="6" t="n">
        <v>83.69</v>
      </c>
      <c r="G79" s="6" t="n">
        <v>63.39</v>
      </c>
      <c r="H79" s="6" t="n">
        <v>29.3</v>
      </c>
      <c r="I79" s="7" t="n">
        <v>1473260.6</v>
      </c>
      <c r="J79" s="6" t="n">
        <v>53.32</v>
      </c>
      <c r="K79" s="8" t="n">
        <v>28784</v>
      </c>
      <c r="L79" s="7" t="n">
        <v>315307.1</v>
      </c>
      <c r="M79" s="7" t="n">
        <v>5800019.8</v>
      </c>
      <c r="N79" s="9" t="n">
        <v>5800.02</v>
      </c>
      <c r="O79" s="8" t="n">
        <v>484745</v>
      </c>
      <c r="P79" s="10" t="n">
        <f aca="false">VALUE(LEFT(B79,4))</f>
        <v>2021</v>
      </c>
      <c r="Q79" s="6" t="n">
        <f aca="false">IF(N78=0,"",(N79-N78)/N78*100)</f>
        <v>5.74889100791109</v>
      </c>
    </row>
    <row r="80" customFormat="false" ht="15" hidden="false" customHeight="false" outlineLevel="0" collapsed="false">
      <c r="B80" s="4" t="s">
        <v>99</v>
      </c>
      <c r="C80" s="4" t="s">
        <v>33</v>
      </c>
      <c r="D80" s="5" t="n">
        <v>3</v>
      </c>
      <c r="E80" s="6" t="n">
        <v>38.29</v>
      </c>
      <c r="F80" s="6" t="n">
        <v>69.69</v>
      </c>
      <c r="G80" s="6" t="n">
        <v>66.09</v>
      </c>
      <c r="H80" s="6" t="n">
        <v>58.22</v>
      </c>
      <c r="I80" s="7" t="n">
        <v>1104997.4</v>
      </c>
      <c r="J80" s="6" t="n">
        <v>58.07</v>
      </c>
      <c r="K80" s="8" t="n">
        <v>27089</v>
      </c>
      <c r="L80" s="7" t="n">
        <v>294096.3</v>
      </c>
      <c r="M80" s="7" t="n">
        <v>6094116.1</v>
      </c>
      <c r="N80" s="9" t="n">
        <v>6094.12</v>
      </c>
      <c r="O80" s="8" t="n">
        <v>511834</v>
      </c>
      <c r="P80" s="10" t="n">
        <f aca="false">VALUE(LEFT(B80,4))</f>
        <v>2021</v>
      </c>
      <c r="Q80" s="6" t="n">
        <f aca="false">IF(N79=0,"",(N80-N79)/N79*100)</f>
        <v>5.07067217009596</v>
      </c>
    </row>
    <row r="81" customFormat="false" ht="15" hidden="false" customHeight="false" outlineLevel="0" collapsed="false">
      <c r="B81" s="4" t="s">
        <v>100</v>
      </c>
      <c r="C81" s="4" t="s">
        <v>33</v>
      </c>
      <c r="D81" s="5" t="n">
        <v>3</v>
      </c>
      <c r="E81" s="6" t="n">
        <v>42.27</v>
      </c>
      <c r="F81" s="6" t="n">
        <v>80.15</v>
      </c>
      <c r="G81" s="6" t="n">
        <v>61.22</v>
      </c>
      <c r="H81" s="6" t="n">
        <v>42.57</v>
      </c>
      <c r="I81" s="7" t="n">
        <v>812176.4</v>
      </c>
      <c r="J81" s="6" t="n">
        <v>56.55</v>
      </c>
      <c r="K81" s="8" t="n">
        <v>30456</v>
      </c>
      <c r="L81" s="7" t="n">
        <v>338966</v>
      </c>
      <c r="M81" s="7" t="n">
        <v>6433082.1</v>
      </c>
      <c r="N81" s="9" t="n">
        <v>6433.08</v>
      </c>
      <c r="O81" s="8" t="n">
        <v>542290</v>
      </c>
      <c r="P81" s="10" t="n">
        <f aca="false">VALUE(LEFT(B81,4))</f>
        <v>2021</v>
      </c>
      <c r="Q81" s="6" t="n">
        <f aca="false">IF(N80=0,"",(N81-N80)/N80*100)</f>
        <v>5.56208279456263</v>
      </c>
    </row>
    <row r="82" customFormat="false" ht="15" hidden="false" customHeight="false" outlineLevel="0" collapsed="false">
      <c r="B82" s="4" t="s">
        <v>101</v>
      </c>
      <c r="C82" s="4" t="s">
        <v>33</v>
      </c>
      <c r="D82" s="5" t="n">
        <v>3</v>
      </c>
      <c r="E82" s="6" t="n">
        <v>43.49</v>
      </c>
      <c r="F82" s="6" t="n">
        <v>80.54</v>
      </c>
      <c r="G82" s="6" t="n">
        <v>59.58</v>
      </c>
      <c r="H82" s="6" t="n">
        <v>33.11</v>
      </c>
      <c r="I82" s="7" t="n">
        <v>607042.8</v>
      </c>
      <c r="J82" s="6" t="n">
        <v>54.18</v>
      </c>
      <c r="K82" s="8" t="n">
        <v>38962</v>
      </c>
      <c r="L82" s="7" t="n">
        <v>413513.1</v>
      </c>
      <c r="M82" s="7" t="n">
        <v>6846595.2</v>
      </c>
      <c r="N82" s="9" t="n">
        <v>6846.6</v>
      </c>
      <c r="O82" s="8" t="n">
        <v>581252</v>
      </c>
      <c r="P82" s="10" t="n">
        <f aca="false">VALUE(LEFT(B82,4))</f>
        <v>2021</v>
      </c>
      <c r="Q82" s="6" t="n">
        <f aca="false">IF(N81=0,"",(N82-N81)/N81*100)</f>
        <v>6.42802514503163</v>
      </c>
    </row>
    <row r="83" customFormat="false" ht="15" hidden="false" customHeight="false" outlineLevel="0" collapsed="false">
      <c r="B83" s="4" t="s">
        <v>102</v>
      </c>
      <c r="C83" s="4" t="s">
        <v>103</v>
      </c>
      <c r="D83" s="5" t="n">
        <v>4</v>
      </c>
      <c r="E83" s="6" t="n">
        <v>44.59</v>
      </c>
      <c r="F83" s="6" t="n">
        <v>80.73</v>
      </c>
      <c r="G83" s="6" t="n">
        <v>56.41</v>
      </c>
      <c r="H83" s="6" t="n">
        <v>65.89</v>
      </c>
      <c r="I83" s="7" t="n">
        <v>656688.7</v>
      </c>
      <c r="J83" s="6" t="n">
        <v>61.91</v>
      </c>
      <c r="K83" s="8" t="n">
        <v>40073</v>
      </c>
      <c r="L83" s="7" t="n">
        <v>396053.9</v>
      </c>
      <c r="M83" s="7" t="n">
        <v>7242649.1</v>
      </c>
      <c r="N83" s="9" t="n">
        <v>7242.65</v>
      </c>
      <c r="O83" s="8" t="n">
        <v>621325</v>
      </c>
      <c r="P83" s="10" t="n">
        <f aca="false">VALUE(LEFT(B83,4))</f>
        <v>2021</v>
      </c>
      <c r="Q83" s="6" t="n">
        <f aca="false">IF(N82=0,"",(N83-N82)/N82*100)</f>
        <v>5.78462302456693</v>
      </c>
    </row>
    <row r="84" customFormat="false" ht="15" hidden="false" customHeight="false" outlineLevel="0" collapsed="false">
      <c r="B84" s="4" t="s">
        <v>104</v>
      </c>
      <c r="C84" s="4" t="s">
        <v>103</v>
      </c>
      <c r="D84" s="5" t="n">
        <v>4</v>
      </c>
      <c r="E84" s="6" t="n">
        <v>43.49</v>
      </c>
      <c r="F84" s="6" t="n">
        <v>85.46</v>
      </c>
      <c r="G84" s="6" t="n">
        <v>94.15</v>
      </c>
      <c r="H84" s="6" t="n">
        <v>92.83</v>
      </c>
      <c r="I84" s="7" t="n">
        <v>1173917.8</v>
      </c>
      <c r="J84" s="6" t="n">
        <v>78.98</v>
      </c>
      <c r="K84" s="8" t="n">
        <v>41848</v>
      </c>
      <c r="L84" s="7" t="n">
        <v>412198.9</v>
      </c>
      <c r="M84" s="7" t="n">
        <v>7654848</v>
      </c>
      <c r="N84" s="9" t="n">
        <v>7654.85</v>
      </c>
      <c r="O84" s="8" t="n">
        <v>663173</v>
      </c>
      <c r="P84" s="10" t="n">
        <f aca="false">VALUE(LEFT(B84,4))</f>
        <v>2021</v>
      </c>
      <c r="Q84" s="6" t="n">
        <f aca="false">IF(N83=0,"",(N84-N83)/N83*100)</f>
        <v>5.69128702891898</v>
      </c>
    </row>
    <row r="85" customFormat="false" ht="15" hidden="false" customHeight="false" outlineLevel="0" collapsed="false">
      <c r="B85" s="4" t="s">
        <v>105</v>
      </c>
      <c r="C85" s="4" t="s">
        <v>103</v>
      </c>
      <c r="D85" s="5" t="n">
        <v>4</v>
      </c>
      <c r="E85" s="6" t="n">
        <v>82.11</v>
      </c>
      <c r="F85" s="6" t="n">
        <v>149.13</v>
      </c>
      <c r="G85" s="6" t="n">
        <v>93.29</v>
      </c>
      <c r="H85" s="6" t="n">
        <v>55.79</v>
      </c>
      <c r="I85" s="7" t="n">
        <v>1345726.1</v>
      </c>
      <c r="J85" s="6" t="n">
        <v>95.08</v>
      </c>
      <c r="K85" s="8" t="n">
        <v>52759</v>
      </c>
      <c r="L85" s="7" t="n">
        <v>491234.4</v>
      </c>
      <c r="M85" s="7" t="n">
        <v>8146082.4</v>
      </c>
      <c r="N85" s="9" t="n">
        <v>8146.08</v>
      </c>
      <c r="O85" s="8" t="n">
        <v>715932</v>
      </c>
      <c r="P85" s="10" t="n">
        <f aca="false">VALUE(LEFT(B85,4))</f>
        <v>2021</v>
      </c>
      <c r="Q85" s="6" t="n">
        <f aca="false">IF(N84=0,"",(N85-N84)/N84*100)</f>
        <v>6.41723874406422</v>
      </c>
    </row>
    <row r="86" customFormat="false" ht="15" hidden="false" customHeight="false" outlineLevel="0" collapsed="false">
      <c r="B86" s="4" t="s">
        <v>106</v>
      </c>
      <c r="C86" s="4" t="s">
        <v>103</v>
      </c>
      <c r="D86" s="5" t="n">
        <v>4</v>
      </c>
      <c r="E86" s="6" t="n">
        <v>101.04</v>
      </c>
      <c r="F86" s="6" t="n">
        <v>187.39</v>
      </c>
      <c r="G86" s="6" t="n">
        <v>88.94</v>
      </c>
      <c r="H86" s="6" t="n">
        <v>29.52</v>
      </c>
      <c r="I86" s="7" t="n">
        <v>2180703.2</v>
      </c>
      <c r="J86" s="6" t="n">
        <v>101.72</v>
      </c>
      <c r="K86" s="8" t="n">
        <v>61621</v>
      </c>
      <c r="L86" s="7" t="n">
        <v>567987.8</v>
      </c>
      <c r="M86" s="7" t="n">
        <v>8714070.2</v>
      </c>
      <c r="N86" s="9" t="n">
        <v>8714.07</v>
      </c>
      <c r="O86" s="8" t="n">
        <v>777553</v>
      </c>
      <c r="P86" s="10" t="n">
        <f aca="false">VALUE(LEFT(B86,4))</f>
        <v>2021</v>
      </c>
      <c r="Q86" s="6" t="n">
        <f aca="false">IF(N85=0,"",(N86-N85)/N85*100)</f>
        <v>6.97255612515467</v>
      </c>
    </row>
    <row r="87" customFormat="false" ht="15" hidden="false" customHeight="false" outlineLevel="0" collapsed="false">
      <c r="B87" s="4" t="s">
        <v>107</v>
      </c>
      <c r="C87" s="4" t="s">
        <v>103</v>
      </c>
      <c r="D87" s="5" t="n">
        <v>4</v>
      </c>
      <c r="E87" s="6" t="n">
        <v>132.05</v>
      </c>
      <c r="F87" s="6" t="n">
        <v>222.05</v>
      </c>
      <c r="G87" s="6" t="n">
        <v>108.97</v>
      </c>
      <c r="H87" s="6" t="n">
        <v>37.13</v>
      </c>
      <c r="I87" s="7" t="n">
        <v>3947494.4</v>
      </c>
      <c r="J87" s="6" t="n">
        <v>125.05</v>
      </c>
      <c r="K87" s="8" t="n">
        <v>46440</v>
      </c>
      <c r="L87" s="7" t="n">
        <v>435332</v>
      </c>
      <c r="M87" s="7" t="n">
        <v>9149402.2</v>
      </c>
      <c r="N87" s="9" t="n">
        <v>9149.4</v>
      </c>
      <c r="O87" s="8" t="n">
        <v>823993</v>
      </c>
      <c r="P87" s="10" t="n">
        <f aca="false">VALUE(LEFT(B87,4))</f>
        <v>2022</v>
      </c>
      <c r="Q87" s="6" t="n">
        <f aca="false">IF(N86=0,"",(N87-N86)/N86*100)</f>
        <v>4.99571382832591</v>
      </c>
    </row>
    <row r="88" customFormat="false" ht="15" hidden="false" customHeight="false" outlineLevel="0" collapsed="false">
      <c r="B88" s="4" t="s">
        <v>108</v>
      </c>
      <c r="C88" s="4" t="s">
        <v>103</v>
      </c>
      <c r="D88" s="5" t="n">
        <v>4</v>
      </c>
      <c r="E88" s="6" t="n">
        <v>147.35</v>
      </c>
      <c r="F88" s="6" t="n">
        <v>135.02</v>
      </c>
      <c r="G88" s="6" t="n">
        <v>110.09</v>
      </c>
      <c r="H88" s="6" t="n">
        <v>33.25</v>
      </c>
      <c r="I88" s="7" t="n">
        <v>3708923.8</v>
      </c>
      <c r="J88" s="6" t="n">
        <v>106.43</v>
      </c>
      <c r="K88" s="8" t="n">
        <v>54483</v>
      </c>
      <c r="L88" s="7" t="n">
        <v>503456.4</v>
      </c>
      <c r="M88" s="7" t="n">
        <v>9652858.6</v>
      </c>
      <c r="N88" s="9" t="n">
        <v>9652.86</v>
      </c>
      <c r="O88" s="8" t="n">
        <v>878476</v>
      </c>
      <c r="P88" s="10" t="n">
        <f aca="false">VALUE(LEFT(B88,4))</f>
        <v>2022</v>
      </c>
      <c r="Q88" s="6" t="n">
        <f aca="false">IF(N87=0,"",(N88-N87)/N87*100)</f>
        <v>5.50265591186308</v>
      </c>
    </row>
    <row r="89" customFormat="false" ht="15" hidden="false" customHeight="false" outlineLevel="0" collapsed="false">
      <c r="B89" s="4" t="s">
        <v>109</v>
      </c>
      <c r="C89" s="4" t="s">
        <v>103</v>
      </c>
      <c r="D89" s="5" t="n">
        <v>4</v>
      </c>
      <c r="E89" s="6" t="n">
        <v>122.18</v>
      </c>
      <c r="F89" s="6" t="n">
        <v>121.42</v>
      </c>
      <c r="G89" s="6" t="n">
        <v>76.6</v>
      </c>
      <c r="H89" s="6" t="n">
        <v>98.79</v>
      </c>
      <c r="I89" s="7" t="n">
        <v>3403320.6</v>
      </c>
      <c r="J89" s="6" t="n">
        <v>104.75</v>
      </c>
      <c r="K89" s="8" t="n">
        <v>61713</v>
      </c>
      <c r="L89" s="7" t="n">
        <v>603288.3</v>
      </c>
      <c r="M89" s="7" t="n">
        <v>10256146.9</v>
      </c>
      <c r="N89" s="9" t="n">
        <v>10256.15</v>
      </c>
      <c r="O89" s="8" t="n">
        <v>940189</v>
      </c>
      <c r="P89" s="10" t="n">
        <f aca="false">VALUE(LEFT(B89,4))</f>
        <v>2022</v>
      </c>
      <c r="Q89" s="6" t="n">
        <f aca="false">IF(N88=0,"",(N89-N88)/N88*100)</f>
        <v>6.24985755517017</v>
      </c>
    </row>
    <row r="90" customFormat="false" ht="15" hidden="false" customHeight="false" outlineLevel="0" collapsed="false">
      <c r="B90" s="4" t="s">
        <v>110</v>
      </c>
      <c r="C90" s="4" t="s">
        <v>103</v>
      </c>
      <c r="D90" s="5" t="n">
        <v>4</v>
      </c>
      <c r="E90" s="6" t="n">
        <v>65.99</v>
      </c>
      <c r="F90" s="6" t="n">
        <v>109.19</v>
      </c>
      <c r="G90" s="6" t="n">
        <v>74.92</v>
      </c>
      <c r="H90" s="6" t="n">
        <v>155.39</v>
      </c>
      <c r="I90" s="7" t="n">
        <v>2646128</v>
      </c>
      <c r="J90" s="6" t="n">
        <v>101.37</v>
      </c>
      <c r="K90" s="8" t="n">
        <v>57498</v>
      </c>
      <c r="L90" s="7" t="n">
        <v>543518</v>
      </c>
      <c r="M90" s="7" t="n">
        <v>10799664.9</v>
      </c>
      <c r="N90" s="9" t="n">
        <v>10799.66</v>
      </c>
      <c r="O90" s="8" t="n">
        <v>997687</v>
      </c>
      <c r="P90" s="10" t="n">
        <f aca="false">VALUE(LEFT(B90,4))</f>
        <v>2022</v>
      </c>
      <c r="Q90" s="6" t="n">
        <f aca="false">IF(N89=0,"",(N90-N89)/N89*100)</f>
        <v>5.29935697118315</v>
      </c>
    </row>
    <row r="91" customFormat="false" ht="15" hidden="false" customHeight="false" outlineLevel="0" collapsed="false">
      <c r="B91" s="4" t="s">
        <v>111</v>
      </c>
      <c r="C91" s="4" t="s">
        <v>37</v>
      </c>
      <c r="D91" s="5" t="n">
        <v>0</v>
      </c>
      <c r="E91" s="6" t="n">
        <v>53.48</v>
      </c>
      <c r="F91" s="6" t="n">
        <v>89.8</v>
      </c>
      <c r="G91" s="6" t="n">
        <v>67.67</v>
      </c>
      <c r="H91" s="6" t="n">
        <v>217.53</v>
      </c>
      <c r="I91" s="7" t="n">
        <v>2095425.9</v>
      </c>
      <c r="J91" s="6" t="n">
        <v>107.12</v>
      </c>
      <c r="K91" s="8" t="n">
        <v>63853</v>
      </c>
      <c r="L91" s="7" t="n">
        <v>613986.9</v>
      </c>
      <c r="M91" s="7" t="n">
        <v>11413651.8</v>
      </c>
      <c r="N91" s="9" t="n">
        <v>11413.65</v>
      </c>
      <c r="O91" s="8" t="n">
        <v>1061540</v>
      </c>
      <c r="P91" s="10" t="n">
        <f aca="false">VALUE(LEFT(B91,4))</f>
        <v>2022</v>
      </c>
      <c r="Q91" s="6" t="n">
        <f aca="false">IF(N90=0,"",(N91-N90)/N90*100)</f>
        <v>5.68527157336435</v>
      </c>
    </row>
    <row r="92" customFormat="false" ht="15" hidden="false" customHeight="false" outlineLevel="0" collapsed="false">
      <c r="B92" s="4" t="s">
        <v>112</v>
      </c>
      <c r="C92" s="4" t="s">
        <v>37</v>
      </c>
      <c r="D92" s="5" t="n">
        <v>0</v>
      </c>
      <c r="E92" s="6" t="n">
        <v>62.71</v>
      </c>
      <c r="F92" s="6" t="n">
        <v>93.1</v>
      </c>
      <c r="G92" s="6" t="n">
        <v>74.73</v>
      </c>
      <c r="H92" s="6" t="n">
        <v>230.7</v>
      </c>
      <c r="I92" s="7" t="n">
        <v>1838926.8</v>
      </c>
      <c r="J92" s="6" t="n">
        <v>115.31</v>
      </c>
      <c r="K92" s="8" t="n">
        <v>64794</v>
      </c>
      <c r="L92" s="7" t="n">
        <v>640725.8</v>
      </c>
      <c r="M92" s="7" t="n">
        <v>12054377.6</v>
      </c>
      <c r="N92" s="9" t="n">
        <v>12054.38</v>
      </c>
      <c r="O92" s="8" t="n">
        <v>1126334</v>
      </c>
      <c r="P92" s="10" t="n">
        <f aca="false">VALUE(LEFT(B92,4))</f>
        <v>2022</v>
      </c>
      <c r="Q92" s="6" t="n">
        <f aca="false">IF(N91=0,"",(N92-N91)/N91*100)</f>
        <v>5.61371690913949</v>
      </c>
    </row>
    <row r="93" customFormat="false" ht="15" hidden="false" customHeight="false" outlineLevel="0" collapsed="false">
      <c r="B93" s="4" t="s">
        <v>113</v>
      </c>
      <c r="C93" s="4" t="s">
        <v>37</v>
      </c>
      <c r="D93" s="5" t="n">
        <v>0</v>
      </c>
      <c r="E93" s="6" t="n">
        <v>65.13</v>
      </c>
      <c r="F93" s="6" t="n">
        <v>101.8</v>
      </c>
      <c r="G93" s="6" t="n">
        <v>65.94</v>
      </c>
      <c r="H93" s="6" t="n">
        <v>71.44</v>
      </c>
      <c r="I93" s="7" t="n">
        <v>1002808.5</v>
      </c>
      <c r="J93" s="6" t="n">
        <v>76.08</v>
      </c>
      <c r="K93" s="8" t="n">
        <v>66999</v>
      </c>
      <c r="L93" s="7" t="n">
        <v>702450</v>
      </c>
      <c r="M93" s="7" t="n">
        <v>12756827.5</v>
      </c>
      <c r="N93" s="9" t="n">
        <v>12756.83</v>
      </c>
      <c r="O93" s="8" t="n">
        <v>1193333</v>
      </c>
      <c r="P93" s="10" t="n">
        <f aca="false">VALUE(LEFT(B93,4))</f>
        <v>2022</v>
      </c>
      <c r="Q93" s="6" t="n">
        <f aca="false">IF(N92=0,"",(N93-N92)/N92*100)</f>
        <v>5.82734242657027</v>
      </c>
    </row>
    <row r="94" customFormat="false" ht="15" hidden="false" customHeight="false" outlineLevel="0" collapsed="false">
      <c r="B94" s="4" t="s">
        <v>114</v>
      </c>
      <c r="C94" s="4" t="s">
        <v>37</v>
      </c>
      <c r="D94" s="5" t="n">
        <v>0</v>
      </c>
      <c r="E94" s="6" t="n">
        <v>62.84</v>
      </c>
      <c r="F94" s="6" t="n">
        <v>105.91</v>
      </c>
      <c r="G94" s="6" t="n">
        <v>78.35</v>
      </c>
      <c r="H94" s="6" t="n">
        <v>126.15</v>
      </c>
      <c r="I94" s="7" t="n">
        <v>1053425.1</v>
      </c>
      <c r="J94" s="6" t="n">
        <v>93.31</v>
      </c>
      <c r="K94" s="8" t="n">
        <v>67688</v>
      </c>
      <c r="L94" s="7" t="n">
        <v>727257.9</v>
      </c>
      <c r="M94" s="7" t="n">
        <v>13484085.5</v>
      </c>
      <c r="N94" s="9" t="n">
        <v>13484.09</v>
      </c>
      <c r="O94" s="8" t="n">
        <v>1261021</v>
      </c>
      <c r="P94" s="10" t="n">
        <f aca="false">VALUE(LEFT(B94,4))</f>
        <v>2022</v>
      </c>
      <c r="Q94" s="6" t="n">
        <f aca="false">IF(N93=0,"",(N94-N93)/N93*100)</f>
        <v>5.70094608143246</v>
      </c>
    </row>
    <row r="95" customFormat="false" ht="15" hidden="false" customHeight="false" outlineLevel="0" collapsed="false">
      <c r="B95" s="4" t="s">
        <v>115</v>
      </c>
      <c r="C95" s="4" t="s">
        <v>37</v>
      </c>
      <c r="D95" s="5" t="n">
        <v>0</v>
      </c>
      <c r="E95" s="6" t="n">
        <v>76.14</v>
      </c>
      <c r="F95" s="6" t="n">
        <v>101.07</v>
      </c>
      <c r="G95" s="6" t="n">
        <v>82.29</v>
      </c>
      <c r="H95" s="6" t="n">
        <v>83.55</v>
      </c>
      <c r="I95" s="7" t="n">
        <v>911182.5</v>
      </c>
      <c r="J95" s="6" t="n">
        <v>85.76</v>
      </c>
      <c r="K95" s="8" t="n">
        <v>64695</v>
      </c>
      <c r="L95" s="7" t="n">
        <v>738252.4</v>
      </c>
      <c r="M95" s="7" t="n">
        <v>14222337.9</v>
      </c>
      <c r="N95" s="9" t="n">
        <v>14222.34</v>
      </c>
      <c r="O95" s="8" t="n">
        <v>1325716</v>
      </c>
      <c r="P95" s="10" t="n">
        <f aca="false">VALUE(LEFT(B95,4))</f>
        <v>2022</v>
      </c>
      <c r="Q95" s="6" t="n">
        <f aca="false">IF(N94=0,"",(N95-N94)/N94*100)</f>
        <v>5.47497087308079</v>
      </c>
    </row>
    <row r="96" customFormat="false" ht="15" hidden="false" customHeight="false" outlineLevel="0" collapsed="false">
      <c r="B96" s="4" t="s">
        <v>116</v>
      </c>
      <c r="C96" s="4" t="s">
        <v>37</v>
      </c>
      <c r="D96" s="5" t="n">
        <v>0</v>
      </c>
      <c r="E96" s="6" t="n">
        <v>59.98</v>
      </c>
      <c r="F96" s="6" t="n">
        <v>92.77</v>
      </c>
      <c r="G96" s="6" t="n">
        <v>103.62</v>
      </c>
      <c r="H96" s="6" t="n">
        <v>155.22</v>
      </c>
      <c r="I96" s="7" t="n">
        <v>1529584.8</v>
      </c>
      <c r="J96" s="6" t="n">
        <v>102.9</v>
      </c>
      <c r="K96" s="8" t="n">
        <v>65549</v>
      </c>
      <c r="L96" s="7" t="n">
        <v>679405.2</v>
      </c>
      <c r="M96" s="7" t="n">
        <v>14901743.1</v>
      </c>
      <c r="N96" s="9" t="n">
        <v>14901.74</v>
      </c>
      <c r="O96" s="8" t="n">
        <v>1391265</v>
      </c>
      <c r="P96" s="10" t="n">
        <f aca="false">VALUE(LEFT(B96,4))</f>
        <v>2022</v>
      </c>
      <c r="Q96" s="6" t="n">
        <f aca="false">IF(N95=0,"",(N96-N95)/N95*100)</f>
        <v>4.77699169053756</v>
      </c>
    </row>
    <row r="97" customFormat="false" ht="15" hidden="false" customHeight="false" outlineLevel="0" collapsed="false">
      <c r="B97" s="4" t="s">
        <v>117</v>
      </c>
      <c r="C97" s="4" t="s">
        <v>37</v>
      </c>
      <c r="D97" s="5" t="n">
        <v>0</v>
      </c>
      <c r="E97" s="6" t="n">
        <v>80.13</v>
      </c>
      <c r="F97" s="6" t="n">
        <v>108.39</v>
      </c>
      <c r="G97" s="6" t="n">
        <v>77.87</v>
      </c>
      <c r="H97" s="6" t="n">
        <v>83.68</v>
      </c>
      <c r="I97" s="7" t="n">
        <v>1225537.3</v>
      </c>
      <c r="J97" s="6" t="n">
        <v>87.52</v>
      </c>
      <c r="K97" s="8" t="n">
        <v>77073</v>
      </c>
      <c r="L97" s="7" t="n">
        <v>831651</v>
      </c>
      <c r="M97" s="7" t="n">
        <v>15733394.1</v>
      </c>
      <c r="N97" s="9" t="n">
        <v>15733.39</v>
      </c>
      <c r="O97" s="8" t="n">
        <v>1468338</v>
      </c>
      <c r="P97" s="10" t="n">
        <f aca="false">VALUE(LEFT(B97,4))</f>
        <v>2022</v>
      </c>
      <c r="Q97" s="6" t="n">
        <f aca="false">IF(N96=0,"",(N97-N96)/N96*100)</f>
        <v>5.58089189584572</v>
      </c>
    </row>
    <row r="98" customFormat="false" ht="15" hidden="false" customHeight="false" outlineLevel="0" collapsed="false">
      <c r="B98" s="4" t="s">
        <v>118</v>
      </c>
      <c r="C98" s="4" t="s">
        <v>37</v>
      </c>
      <c r="D98" s="5" t="n">
        <v>0</v>
      </c>
      <c r="E98" s="6" t="n">
        <v>96.48</v>
      </c>
      <c r="F98" s="6" t="n">
        <v>129.38</v>
      </c>
      <c r="G98" s="6" t="n">
        <v>89.58</v>
      </c>
      <c r="H98" s="6" t="n">
        <v>110</v>
      </c>
      <c r="I98" s="7" t="n">
        <v>2216782.7</v>
      </c>
      <c r="J98" s="6" t="n">
        <v>106.36</v>
      </c>
      <c r="K98" s="8" t="n">
        <v>95220</v>
      </c>
      <c r="L98" s="7" t="n">
        <v>996577</v>
      </c>
      <c r="M98" s="7" t="n">
        <v>16729971.1</v>
      </c>
      <c r="N98" s="9" t="n">
        <v>16729.97</v>
      </c>
      <c r="O98" s="8" t="n">
        <v>1563558</v>
      </c>
      <c r="P98" s="10" t="n">
        <f aca="false">VALUE(LEFT(B98,4))</f>
        <v>2022</v>
      </c>
      <c r="Q98" s="6" t="n">
        <f aca="false">IF(N97=0,"",(N98-N97)/N97*100)</f>
        <v>6.3341721014988</v>
      </c>
    </row>
    <row r="99" customFormat="false" ht="15" hidden="false" customHeight="false" outlineLevel="0" collapsed="false">
      <c r="B99" s="4" t="s">
        <v>119</v>
      </c>
      <c r="C99" s="4" t="s">
        <v>37</v>
      </c>
      <c r="D99" s="5" t="n">
        <v>0</v>
      </c>
      <c r="E99" s="6" t="n">
        <v>107.67</v>
      </c>
      <c r="F99" s="6" t="n">
        <v>131.15</v>
      </c>
      <c r="G99" s="6" t="n">
        <v>118.65</v>
      </c>
      <c r="H99" s="6" t="n">
        <v>93.63</v>
      </c>
      <c r="I99" s="7" t="n">
        <v>3712875.3</v>
      </c>
      <c r="J99" s="6" t="n">
        <v>112.78</v>
      </c>
      <c r="K99" s="8" t="n">
        <v>103016</v>
      </c>
      <c r="L99" s="7" t="n">
        <v>1065953.9</v>
      </c>
      <c r="M99" s="7" t="n">
        <v>17795925</v>
      </c>
      <c r="N99" s="9" t="n">
        <v>17795.92</v>
      </c>
      <c r="O99" s="8" t="n">
        <v>1666574</v>
      </c>
      <c r="P99" s="10" t="n">
        <f aca="false">VALUE(LEFT(B99,4))</f>
        <v>2023</v>
      </c>
      <c r="Q99" s="6" t="n">
        <f aca="false">IF(N98=0,"",(N99-N98)/N98*100)</f>
        <v>6.37149976957518</v>
      </c>
    </row>
    <row r="100" customFormat="false" ht="15" hidden="false" customHeight="false" outlineLevel="0" collapsed="false">
      <c r="B100" s="4" t="s">
        <v>120</v>
      </c>
      <c r="C100" s="4" t="s">
        <v>37</v>
      </c>
      <c r="D100" s="5" t="n">
        <v>0</v>
      </c>
      <c r="E100" s="6" t="n">
        <v>97.76</v>
      </c>
      <c r="F100" s="6" t="n">
        <v>99.23</v>
      </c>
      <c r="G100" s="6" t="n">
        <v>104.56</v>
      </c>
      <c r="H100" s="6" t="n">
        <v>86.47</v>
      </c>
      <c r="I100" s="7" t="n">
        <v>3286265.7</v>
      </c>
      <c r="J100" s="6" t="n">
        <v>97</v>
      </c>
      <c r="K100" s="8" t="n">
        <v>86014</v>
      </c>
      <c r="L100" s="7" t="n">
        <v>933543.4</v>
      </c>
      <c r="M100" s="7" t="n">
        <v>18729468.3</v>
      </c>
      <c r="N100" s="9" t="n">
        <v>18729.47</v>
      </c>
      <c r="O100" s="8" t="n">
        <v>1752588</v>
      </c>
      <c r="P100" s="10" t="n">
        <f aca="false">VALUE(LEFT(B100,4))</f>
        <v>2023</v>
      </c>
      <c r="Q100" s="6" t="n">
        <f aca="false">IF(N99=0,"",(N100-N99)/N99*100)</f>
        <v>5.24586534441604</v>
      </c>
    </row>
    <row r="101" customFormat="false" ht="15" hidden="false" customHeight="false" outlineLevel="0" collapsed="false">
      <c r="B101" s="4" t="s">
        <v>121</v>
      </c>
      <c r="C101" s="4" t="s">
        <v>37</v>
      </c>
      <c r="D101" s="5" t="n">
        <v>0</v>
      </c>
      <c r="E101" s="6" t="n">
        <v>55.56</v>
      </c>
      <c r="F101" s="6" t="n">
        <v>103.46</v>
      </c>
      <c r="G101" s="6" t="n">
        <v>102.83</v>
      </c>
      <c r="H101" s="6" t="n">
        <v>114.43</v>
      </c>
      <c r="I101" s="7" t="n">
        <v>3555473.2</v>
      </c>
      <c r="J101" s="6" t="n">
        <v>94.07</v>
      </c>
      <c r="K101" s="8" t="n">
        <v>82761</v>
      </c>
      <c r="L101" s="7" t="n">
        <v>1006313.3</v>
      </c>
      <c r="M101" s="7" t="n">
        <v>19735781.7</v>
      </c>
      <c r="N101" s="9" t="n">
        <v>19735.78</v>
      </c>
      <c r="O101" s="8" t="n">
        <v>1835349</v>
      </c>
      <c r="P101" s="10" t="n">
        <f aca="false">VALUE(LEFT(B101,4))</f>
        <v>2023</v>
      </c>
      <c r="Q101" s="6" t="n">
        <f aca="false">IF(N100=0,"",(N101-N100)/N100*100)</f>
        <v>5.3728696006881</v>
      </c>
    </row>
    <row r="102" customFormat="false" ht="15" hidden="false" customHeight="false" outlineLevel="0" collapsed="false">
      <c r="B102" s="4" t="s">
        <v>122</v>
      </c>
      <c r="C102" s="4" t="s">
        <v>37</v>
      </c>
      <c r="D102" s="5" t="n">
        <v>0</v>
      </c>
      <c r="E102" s="6" t="n">
        <v>37.3</v>
      </c>
      <c r="F102" s="6" t="n">
        <v>104.27</v>
      </c>
      <c r="G102" s="6" t="n">
        <v>100.7</v>
      </c>
      <c r="H102" s="6" t="n">
        <v>95.06</v>
      </c>
      <c r="I102" s="7" t="n">
        <v>2815941.8</v>
      </c>
      <c r="J102" s="6" t="n">
        <v>84.33</v>
      </c>
      <c r="K102" s="8" t="n">
        <v>54414</v>
      </c>
      <c r="L102" s="7" t="n">
        <v>731330.8</v>
      </c>
      <c r="M102" s="7" t="n">
        <v>20467112.5</v>
      </c>
      <c r="N102" s="9" t="n">
        <v>20467.11</v>
      </c>
      <c r="O102" s="8" t="n">
        <v>1889763</v>
      </c>
      <c r="P102" s="10" t="n">
        <f aca="false">VALUE(LEFT(B102,4))</f>
        <v>2023</v>
      </c>
      <c r="Q102" s="6" t="n">
        <f aca="false">IF(N101=0,"",(N102-N101)/N101*100)</f>
        <v>3.70560474427665</v>
      </c>
    </row>
    <row r="103" customFormat="false" ht="15" hidden="false" customHeight="false" outlineLevel="0" collapsed="false">
      <c r="B103" s="4" t="s">
        <v>123</v>
      </c>
      <c r="C103" s="4" t="s">
        <v>37</v>
      </c>
      <c r="D103" s="5" t="n">
        <v>0</v>
      </c>
      <c r="E103" s="6" t="n">
        <v>54.17</v>
      </c>
      <c r="F103" s="6" t="n">
        <v>91.61</v>
      </c>
      <c r="G103" s="6" t="n">
        <v>91.58</v>
      </c>
      <c r="H103" s="6" t="n">
        <v>61.91</v>
      </c>
      <c r="I103" s="7" t="n">
        <v>1996520.5</v>
      </c>
      <c r="J103" s="6" t="n">
        <v>74.82</v>
      </c>
      <c r="K103" s="8" t="n">
        <v>55671</v>
      </c>
      <c r="L103" s="7" t="n">
        <v>861956.9</v>
      </c>
      <c r="M103" s="7" t="n">
        <v>21329069.4</v>
      </c>
      <c r="N103" s="9" t="n">
        <v>21329.07</v>
      </c>
      <c r="O103" s="8" t="n">
        <v>1945434</v>
      </c>
      <c r="P103" s="10" t="n">
        <f aca="false">VALUE(LEFT(B103,4))</f>
        <v>2023</v>
      </c>
      <c r="Q103" s="6" t="n">
        <f aca="false">IF(N102=0,"",(N103-N102)/N102*100)</f>
        <v>4.21143971962822</v>
      </c>
    </row>
    <row r="104" customFormat="false" ht="15" hidden="false" customHeight="false" outlineLevel="0" collapsed="false">
      <c r="B104" s="4" t="s">
        <v>124</v>
      </c>
      <c r="C104" s="4" t="s">
        <v>37</v>
      </c>
      <c r="D104" s="5" t="n">
        <v>0</v>
      </c>
      <c r="E104" s="6" t="n">
        <v>50.88</v>
      </c>
      <c r="F104" s="6" t="n">
        <v>74.9</v>
      </c>
      <c r="G104" s="6" t="n">
        <v>94.75</v>
      </c>
      <c r="H104" s="6" t="n">
        <v>78.93</v>
      </c>
      <c r="I104" s="7" t="n">
        <v>1483864.4</v>
      </c>
      <c r="J104" s="6" t="n">
        <v>74.87</v>
      </c>
      <c r="K104" s="8" t="n">
        <v>37284</v>
      </c>
      <c r="L104" s="7" t="n">
        <v>557322.2</v>
      </c>
      <c r="M104" s="7" t="n">
        <v>21886391.6</v>
      </c>
      <c r="N104" s="9" t="n">
        <v>21886.39</v>
      </c>
      <c r="O104" s="8" t="n">
        <v>1982718</v>
      </c>
      <c r="P104" s="10" t="n">
        <f aca="false">VALUE(LEFT(B104,4))</f>
        <v>2023</v>
      </c>
      <c r="Q104" s="6" t="n">
        <f aca="false">IF(N103=0,"",(N104-N103)/N103*100)</f>
        <v>2.61295968366178</v>
      </c>
    </row>
    <row r="105" customFormat="false" ht="15" hidden="false" customHeight="false" outlineLevel="0" collapsed="false">
      <c r="B105" s="4" t="s">
        <v>125</v>
      </c>
      <c r="C105" s="4" t="s">
        <v>37</v>
      </c>
      <c r="D105" s="5" t="n">
        <v>0</v>
      </c>
      <c r="E105" s="6" t="n">
        <v>58.4</v>
      </c>
      <c r="F105" s="6" t="n">
        <v>76.79</v>
      </c>
      <c r="G105" s="6" t="n">
        <v>89.18</v>
      </c>
      <c r="H105" s="6" t="n">
        <v>147.67</v>
      </c>
      <c r="I105" s="7" t="n">
        <v>1403067.7</v>
      </c>
      <c r="J105" s="6" t="n">
        <v>93.01</v>
      </c>
      <c r="K105" s="8" t="n">
        <v>37094</v>
      </c>
      <c r="L105" s="7" t="n">
        <v>492045.9</v>
      </c>
      <c r="M105" s="7" t="n">
        <v>22378437.6</v>
      </c>
      <c r="N105" s="9" t="n">
        <v>22378.44</v>
      </c>
      <c r="O105" s="8" t="n">
        <v>2019812</v>
      </c>
      <c r="P105" s="10" t="n">
        <f aca="false">VALUE(LEFT(B105,4))</f>
        <v>2023</v>
      </c>
      <c r="Q105" s="6" t="n">
        <f aca="false">IF(N104=0,"",(N105-N104)/N104*100)</f>
        <v>2.24820082252029</v>
      </c>
    </row>
    <row r="106" customFormat="false" ht="15" hidden="false" customHeight="false" outlineLevel="0" collapsed="false">
      <c r="B106" s="4" t="s">
        <v>126</v>
      </c>
      <c r="C106" s="4" t="s">
        <v>37</v>
      </c>
      <c r="D106" s="5" t="n">
        <v>0</v>
      </c>
      <c r="E106" s="6" t="n">
        <v>65.34</v>
      </c>
      <c r="F106" s="6" t="n">
        <v>68.55</v>
      </c>
      <c r="G106" s="6" t="n">
        <v>90.09</v>
      </c>
      <c r="H106" s="6" t="n">
        <v>81.41</v>
      </c>
      <c r="I106" s="7" t="n">
        <v>960021.6</v>
      </c>
      <c r="J106" s="6" t="n">
        <v>76.35</v>
      </c>
      <c r="K106" s="8" t="n">
        <v>39274</v>
      </c>
      <c r="L106" s="7" t="n">
        <v>527660.4</v>
      </c>
      <c r="M106" s="7" t="n">
        <v>22906098</v>
      </c>
      <c r="N106" s="9" t="n">
        <v>22906.1</v>
      </c>
      <c r="O106" s="8" t="n">
        <v>2059086</v>
      </c>
      <c r="P106" s="10" t="n">
        <f aca="false">VALUE(LEFT(B106,4))</f>
        <v>2023</v>
      </c>
      <c r="Q106" s="6" t="n">
        <f aca="false">IF(N105=0,"",(N106-N105)/N105*100)</f>
        <v>2.35789447343068</v>
      </c>
    </row>
    <row r="107" customFormat="false" ht="15" hidden="false" customHeight="false" outlineLevel="0" collapsed="false">
      <c r="B107" s="4" t="s">
        <v>127</v>
      </c>
      <c r="C107" s="4" t="s">
        <v>37</v>
      </c>
      <c r="D107" s="5" t="n">
        <v>0</v>
      </c>
      <c r="E107" s="6" t="n">
        <v>70.19</v>
      </c>
      <c r="F107" s="6" t="n">
        <v>73.82</v>
      </c>
      <c r="G107" s="6" t="n">
        <v>88.05</v>
      </c>
      <c r="H107" s="6" t="n">
        <v>138.4</v>
      </c>
      <c r="I107" s="7" t="n">
        <v>1114789.6</v>
      </c>
      <c r="J107" s="6" t="n">
        <v>92.62</v>
      </c>
      <c r="K107" s="8" t="n">
        <v>37145</v>
      </c>
      <c r="L107" s="7" t="n">
        <v>523892.6</v>
      </c>
      <c r="M107" s="7" t="n">
        <v>23429990.5</v>
      </c>
      <c r="N107" s="9" t="n">
        <v>23429.99</v>
      </c>
      <c r="O107" s="8" t="n">
        <v>2096231</v>
      </c>
      <c r="P107" s="10" t="n">
        <f aca="false">VALUE(LEFT(B107,4))</f>
        <v>2023</v>
      </c>
      <c r="Q107" s="6" t="n">
        <f aca="false">IF(N106=0,"",(N107-N106)/N106*100)</f>
        <v>2.2871200247969</v>
      </c>
    </row>
    <row r="108" customFormat="false" ht="15" hidden="false" customHeight="false" outlineLevel="0" collapsed="false">
      <c r="B108" s="4" t="s">
        <v>128</v>
      </c>
      <c r="C108" s="4" t="s">
        <v>37</v>
      </c>
      <c r="D108" s="5" t="n">
        <v>0</v>
      </c>
      <c r="E108" s="6" t="n">
        <v>48.86</v>
      </c>
      <c r="F108" s="6" t="n">
        <v>56.08</v>
      </c>
      <c r="G108" s="6" t="n">
        <v>95.38</v>
      </c>
      <c r="H108" s="6" t="n">
        <v>341.32</v>
      </c>
      <c r="I108" s="7" t="n">
        <v>2193342.9</v>
      </c>
      <c r="J108" s="6" t="n">
        <v>135.41</v>
      </c>
      <c r="K108" s="8" t="n">
        <v>44697</v>
      </c>
      <c r="L108" s="7" t="n">
        <v>584556.6</v>
      </c>
      <c r="M108" s="7" t="n">
        <v>24014547.1</v>
      </c>
      <c r="N108" s="9" t="n">
        <v>24014.55</v>
      </c>
      <c r="O108" s="8" t="n">
        <v>2140928</v>
      </c>
      <c r="P108" s="10" t="n">
        <f aca="false">VALUE(LEFT(B108,4))</f>
        <v>2023</v>
      </c>
      <c r="Q108" s="6" t="n">
        <f aca="false">IF(N107=0,"",(N108-N107)/N107*100)</f>
        <v>2.49492210624075</v>
      </c>
    </row>
    <row r="109" customFormat="false" ht="15" hidden="false" customHeight="false" outlineLevel="0" collapsed="false">
      <c r="B109" s="4" t="s">
        <v>129</v>
      </c>
      <c r="C109" s="4" t="s">
        <v>37</v>
      </c>
      <c r="D109" s="5" t="n">
        <v>0</v>
      </c>
      <c r="E109" s="6" t="n">
        <v>40.93</v>
      </c>
      <c r="F109" s="6" t="n">
        <v>36.82</v>
      </c>
      <c r="G109" s="6" t="n">
        <v>84.19</v>
      </c>
      <c r="H109" s="6" t="n">
        <v>503.09</v>
      </c>
      <c r="I109" s="7" t="n">
        <v>2308512.5</v>
      </c>
      <c r="J109" s="6" t="n">
        <v>166.26</v>
      </c>
      <c r="K109" s="8" t="n">
        <v>53057</v>
      </c>
      <c r="L109" s="7" t="n">
        <v>605023</v>
      </c>
      <c r="M109" s="7" t="n">
        <v>24619570.1</v>
      </c>
      <c r="N109" s="9" t="n">
        <v>24619.57</v>
      </c>
      <c r="O109" s="8" t="n">
        <v>2193985</v>
      </c>
      <c r="P109" s="10" t="n">
        <f aca="false">VALUE(LEFT(B109,4))</f>
        <v>2023</v>
      </c>
      <c r="Q109" s="6" t="n">
        <f aca="false">IF(N108=0,"",(N109-N108)/N108*100)</f>
        <v>2.51938928691148</v>
      </c>
    </row>
    <row r="110" customFormat="false" ht="15" hidden="false" customHeight="false" outlineLevel="0" collapsed="false">
      <c r="B110" s="4" t="s">
        <v>130</v>
      </c>
      <c r="C110" s="4" t="s">
        <v>37</v>
      </c>
      <c r="D110" s="5" t="n">
        <v>0</v>
      </c>
      <c r="E110" s="6" t="n">
        <v>18.19</v>
      </c>
      <c r="F110" s="6" t="n">
        <v>27.44</v>
      </c>
      <c r="G110" s="6" t="n">
        <v>58.53</v>
      </c>
      <c r="H110" s="6" t="n">
        <v>208.85</v>
      </c>
      <c r="I110" s="7" t="n">
        <v>1478622.6</v>
      </c>
      <c r="J110" s="6" t="n">
        <v>78.25</v>
      </c>
      <c r="K110" s="8" t="n">
        <v>60894</v>
      </c>
      <c r="L110" s="7" t="n">
        <v>701424.5</v>
      </c>
      <c r="M110" s="7" t="n">
        <v>25320994.6</v>
      </c>
      <c r="N110" s="9" t="n">
        <v>25320.99</v>
      </c>
      <c r="O110" s="8" t="n">
        <v>2254879</v>
      </c>
      <c r="P110" s="10" t="n">
        <f aca="false">VALUE(LEFT(B110,4))</f>
        <v>2023</v>
      </c>
      <c r="Q110" s="6" t="n">
        <f aca="false">IF(N109=0,"",(N110-N109)/N109*100)</f>
        <v>2.84903432513241</v>
      </c>
    </row>
    <row r="111" customFormat="false" ht="15" hidden="false" customHeight="false" outlineLevel="0" collapsed="false">
      <c r="B111" s="4" t="s">
        <v>131</v>
      </c>
      <c r="C111" s="4" t="s">
        <v>37</v>
      </c>
      <c r="D111" s="5" t="n">
        <v>0</v>
      </c>
      <c r="E111" s="6" t="n">
        <v>47.55</v>
      </c>
      <c r="F111" s="6" t="n">
        <v>42.8</v>
      </c>
      <c r="G111" s="6" t="n">
        <v>56.33</v>
      </c>
      <c r="H111" s="6" t="n">
        <v>137.37</v>
      </c>
      <c r="I111" s="7" t="n">
        <v>1879169</v>
      </c>
      <c r="J111" s="6" t="n">
        <v>71.01</v>
      </c>
      <c r="K111" s="8" t="n">
        <v>69948</v>
      </c>
      <c r="L111" s="7" t="n">
        <v>798562.2</v>
      </c>
      <c r="M111" s="7" t="n">
        <v>26119556.8</v>
      </c>
      <c r="N111" s="9" t="n">
        <v>26119.56</v>
      </c>
      <c r="O111" s="8" t="n">
        <v>2324827</v>
      </c>
      <c r="P111" s="10" t="n">
        <f aca="false">VALUE(LEFT(B111,4))</f>
        <v>2024</v>
      </c>
      <c r="Q111" s="6" t="n">
        <f aca="false">IF(N110=0,"",(N111-N110)/N110*100)</f>
        <v>3.15378664104365</v>
      </c>
    </row>
    <row r="112" customFormat="false" ht="15" hidden="false" customHeight="false" outlineLevel="0" collapsed="false">
      <c r="B112" s="4" t="s">
        <v>132</v>
      </c>
      <c r="C112" s="4" t="s">
        <v>37</v>
      </c>
      <c r="D112" s="5" t="n">
        <v>0</v>
      </c>
      <c r="E112" s="6" t="n">
        <v>67.67</v>
      </c>
      <c r="F112" s="6" t="n">
        <v>73.12</v>
      </c>
      <c r="G112" s="6" t="n">
        <v>61.37</v>
      </c>
      <c r="H112" s="6" t="n">
        <v>86.87</v>
      </c>
      <c r="I112" s="7" t="n">
        <v>2233184.3</v>
      </c>
      <c r="J112" s="6" t="n">
        <v>72.26</v>
      </c>
      <c r="K112" s="8" t="n">
        <v>70411</v>
      </c>
      <c r="L112" s="7" t="n">
        <v>736561.2</v>
      </c>
      <c r="M112" s="7" t="n">
        <v>26856118.1</v>
      </c>
      <c r="N112" s="9" t="n">
        <v>26856.12</v>
      </c>
      <c r="O112" s="8" t="n">
        <v>2395238</v>
      </c>
      <c r="P112" s="10" t="n">
        <f aca="false">VALUE(LEFT(B112,4))</f>
        <v>2024</v>
      </c>
      <c r="Q112" s="6" t="n">
        <f aca="false">IF(N111=0,"",(N112-N111)/N111*100)</f>
        <v>2.81995561946678</v>
      </c>
    </row>
    <row r="113" customFormat="false" ht="15" hidden="false" customHeight="false" outlineLevel="0" collapsed="false">
      <c r="B113" s="4" t="s">
        <v>133</v>
      </c>
      <c r="C113" s="4" t="s">
        <v>37</v>
      </c>
      <c r="D113" s="5" t="n">
        <v>0</v>
      </c>
      <c r="E113" s="6" t="n">
        <v>60.84</v>
      </c>
      <c r="F113" s="6" t="n">
        <v>69.67</v>
      </c>
      <c r="G113" s="6" t="n">
        <v>66.36</v>
      </c>
      <c r="H113" s="6" t="n">
        <v>137.69</v>
      </c>
      <c r="I113" s="7" t="n">
        <v>2571652.5</v>
      </c>
      <c r="J113" s="6" t="n">
        <v>83.64</v>
      </c>
      <c r="K113" s="8" t="n">
        <v>76752</v>
      </c>
      <c r="L113" s="7" t="n">
        <v>859535.2</v>
      </c>
      <c r="M113" s="7" t="n">
        <v>27715653.3</v>
      </c>
      <c r="N113" s="9" t="n">
        <v>27715.65</v>
      </c>
      <c r="O113" s="8" t="n">
        <v>2471990</v>
      </c>
      <c r="P113" s="10" t="n">
        <f aca="false">VALUE(LEFT(B113,4))</f>
        <v>2024</v>
      </c>
      <c r="Q113" s="6" t="n">
        <f aca="false">IF(N112=0,"",(N113-N112)/N112*100)</f>
        <v>3.20049955094035</v>
      </c>
    </row>
    <row r="114" customFormat="false" ht="15" hidden="false" customHeight="false" outlineLevel="0" collapsed="false">
      <c r="B114" s="4" t="s">
        <v>134</v>
      </c>
      <c r="C114" s="4" t="s">
        <v>37</v>
      </c>
      <c r="D114" s="5" t="n">
        <v>0</v>
      </c>
      <c r="E114" s="6" t="n">
        <v>70.55</v>
      </c>
      <c r="F114" s="6" t="n">
        <v>80.56</v>
      </c>
      <c r="G114" s="6" t="n">
        <v>84.33</v>
      </c>
      <c r="H114" s="6" t="n">
        <v>145.99</v>
      </c>
      <c r="I114" s="7" t="n">
        <v>2568674</v>
      </c>
      <c r="J114" s="6" t="n">
        <v>95.36</v>
      </c>
      <c r="K114" s="8" t="n">
        <v>80779</v>
      </c>
      <c r="L114" s="7" t="n">
        <v>881370.7</v>
      </c>
      <c r="M114" s="7" t="n">
        <v>28597024</v>
      </c>
      <c r="N114" s="9" t="n">
        <v>28597.02</v>
      </c>
      <c r="O114" s="8" t="n">
        <v>2552769</v>
      </c>
      <c r="P114" s="10" t="n">
        <f aca="false">VALUE(LEFT(B114,4))</f>
        <v>2024</v>
      </c>
      <c r="Q114" s="6" t="n">
        <f aca="false">IF(N113=0,"",(N114-N113)/N113*100)</f>
        <v>3.18004448750074</v>
      </c>
    </row>
    <row r="115" customFormat="false" ht="15" hidden="false" customHeight="false" outlineLevel="0" collapsed="false">
      <c r="B115" s="4" t="s">
        <v>135</v>
      </c>
      <c r="C115" s="4" t="s">
        <v>37</v>
      </c>
      <c r="D115" s="5" t="n">
        <v>0</v>
      </c>
      <c r="E115" s="6" t="n">
        <v>43.66</v>
      </c>
      <c r="F115" s="6" t="n">
        <v>72.69</v>
      </c>
      <c r="G115" s="6" t="n">
        <v>59.96</v>
      </c>
      <c r="H115" s="6" t="n">
        <v>343.09</v>
      </c>
      <c r="I115" s="7" t="n">
        <v>2213303.6</v>
      </c>
      <c r="J115" s="6" t="n">
        <v>129.85</v>
      </c>
      <c r="K115" s="8" t="n">
        <v>78197</v>
      </c>
      <c r="L115" s="7" t="n">
        <v>874515.1</v>
      </c>
      <c r="M115" s="7" t="n">
        <v>29471539.1</v>
      </c>
      <c r="N115" s="9" t="n">
        <v>29471.54</v>
      </c>
      <c r="O115" s="8" t="n">
        <v>2630966</v>
      </c>
      <c r="P115" s="10" t="n">
        <f aca="false">VALUE(LEFT(B115,4))</f>
        <v>2024</v>
      </c>
      <c r="Q115" s="6" t="n">
        <f aca="false">IF(N114=0,"",(N115-N114)/N114*100)</f>
        <v>3.05808087695851</v>
      </c>
    </row>
    <row r="116" customFormat="false" ht="15" hidden="false" customHeight="false" outlineLevel="0" collapsed="false">
      <c r="B116" s="4" t="s">
        <v>136</v>
      </c>
      <c r="C116" s="4" t="s">
        <v>37</v>
      </c>
      <c r="D116" s="5" t="n">
        <v>0</v>
      </c>
      <c r="E116" s="6" t="n">
        <v>40.38</v>
      </c>
      <c r="F116" s="6" t="n">
        <v>51.34</v>
      </c>
      <c r="G116" s="6" t="n">
        <v>56.04</v>
      </c>
      <c r="H116" s="6" t="n">
        <v>152.7</v>
      </c>
      <c r="I116" s="7" t="n">
        <v>1252096.7</v>
      </c>
      <c r="J116" s="6" t="n">
        <v>75.12</v>
      </c>
      <c r="K116" s="8" t="n">
        <v>73173</v>
      </c>
      <c r="L116" s="7" t="n">
        <v>876777.1</v>
      </c>
      <c r="M116" s="7" t="n">
        <v>30348316.1</v>
      </c>
      <c r="N116" s="9" t="n">
        <v>30348.32</v>
      </c>
      <c r="O116" s="8" t="n">
        <v>2704139</v>
      </c>
      <c r="P116" s="10" t="n">
        <f aca="false">VALUE(LEFT(B116,4))</f>
        <v>2024</v>
      </c>
      <c r="Q116" s="6" t="n">
        <f aca="false">IF(N115=0,"",(N116-N115)/N115*100)</f>
        <v>2.97500571738022</v>
      </c>
    </row>
    <row r="117" customFormat="false" ht="15" hidden="false" customHeight="false" outlineLevel="0" collapsed="false">
      <c r="B117" s="4" t="s">
        <v>137</v>
      </c>
      <c r="C117" s="4" t="s">
        <v>35</v>
      </c>
      <c r="D117" s="5" t="n">
        <v>1</v>
      </c>
      <c r="E117" s="6" t="n">
        <v>43.27</v>
      </c>
      <c r="F117" s="6" t="n">
        <v>50.46</v>
      </c>
      <c r="G117" s="6" t="n">
        <v>58.53</v>
      </c>
      <c r="H117" s="6" t="n">
        <v>178.58</v>
      </c>
      <c r="I117" s="7" t="n">
        <v>1200178.4</v>
      </c>
      <c r="J117" s="6" t="n">
        <v>82.71</v>
      </c>
      <c r="K117" s="8" t="n">
        <v>77620</v>
      </c>
      <c r="L117" s="7" t="n">
        <v>944191.2</v>
      </c>
      <c r="M117" s="7" t="n">
        <v>31292507.3</v>
      </c>
      <c r="N117" s="9" t="n">
        <v>31292.51</v>
      </c>
      <c r="O117" s="8" t="n">
        <v>2781759</v>
      </c>
      <c r="P117" s="10" t="n">
        <f aca="false">VALUE(LEFT(B117,4))</f>
        <v>2024</v>
      </c>
      <c r="Q117" s="6" t="n">
        <f aca="false">IF(N116=0,"",(N117-N116)/N116*100)</f>
        <v>3.11117715906514</v>
      </c>
    </row>
    <row r="118" customFormat="false" ht="15" hidden="false" customHeight="false" outlineLevel="0" collapsed="false">
      <c r="B118" s="4" t="s">
        <v>138</v>
      </c>
      <c r="C118" s="4" t="s">
        <v>37</v>
      </c>
      <c r="D118" s="5" t="n">
        <v>0</v>
      </c>
      <c r="E118" s="6" t="n">
        <v>42.17</v>
      </c>
      <c r="F118" s="6" t="n">
        <v>48.94</v>
      </c>
      <c r="G118" s="6" t="n">
        <v>58.17</v>
      </c>
      <c r="H118" s="6" t="n">
        <v>62.78</v>
      </c>
      <c r="I118" s="7" t="n">
        <v>655991.5</v>
      </c>
      <c r="J118" s="6" t="n">
        <v>53.02</v>
      </c>
      <c r="K118" s="8" t="n">
        <v>73722</v>
      </c>
      <c r="L118" s="7" t="n">
        <v>933094.4</v>
      </c>
      <c r="M118" s="7" t="n">
        <v>32225601.7</v>
      </c>
      <c r="N118" s="9" t="n">
        <v>32225.6</v>
      </c>
      <c r="O118" s="8" t="n">
        <v>2855481</v>
      </c>
      <c r="P118" s="10" t="n">
        <f aca="false">VALUE(LEFT(B118,4))</f>
        <v>2024</v>
      </c>
      <c r="Q118" s="6" t="n">
        <f aca="false">IF(N117=0,"",(N118-N117)/N117*100)</f>
        <v>2.98183175462755</v>
      </c>
    </row>
    <row r="119" customFormat="false" ht="15" hidden="false" customHeight="false" outlineLevel="0" collapsed="false">
      <c r="B119" s="4" t="s">
        <v>139</v>
      </c>
      <c r="C119" s="4" t="s">
        <v>19</v>
      </c>
      <c r="D119" s="5" t="n">
        <v>2</v>
      </c>
      <c r="E119" s="6" t="n">
        <v>41.12</v>
      </c>
      <c r="F119" s="6" t="n">
        <v>49.68</v>
      </c>
      <c r="G119" s="6" t="n">
        <v>48.69</v>
      </c>
      <c r="H119" s="6" t="n">
        <v>56.12</v>
      </c>
      <c r="I119" s="7" t="n">
        <v>552494.8</v>
      </c>
      <c r="J119" s="6" t="n">
        <v>48.9</v>
      </c>
      <c r="K119" s="8" t="n">
        <v>67701</v>
      </c>
      <c r="L119" s="7" t="n">
        <v>800434.7</v>
      </c>
      <c r="M119" s="7" t="n">
        <v>33026036.4</v>
      </c>
      <c r="N119" s="9" t="n">
        <v>33026.04</v>
      </c>
      <c r="O119" s="8" t="n">
        <v>2923182</v>
      </c>
      <c r="P119" s="10" t="n">
        <f aca="false">VALUE(LEFT(B119,4))</f>
        <v>2024</v>
      </c>
      <c r="Q119" s="6" t="n">
        <f aca="false">IF(N118=0,"",(N119-N118)/N118*100)</f>
        <v>2.48386376048856</v>
      </c>
    </row>
    <row r="120" customFormat="false" ht="15" hidden="false" customHeight="false" outlineLevel="0" collapsed="false">
      <c r="B120" s="4" t="s">
        <v>140</v>
      </c>
      <c r="C120" s="4" t="s">
        <v>33</v>
      </c>
      <c r="D120" s="5" t="n">
        <v>3</v>
      </c>
      <c r="E120" s="6" t="n">
        <v>40.21</v>
      </c>
      <c r="F120" s="6" t="n">
        <v>44.75</v>
      </c>
      <c r="G120" s="6" t="n">
        <v>59.43</v>
      </c>
      <c r="H120" s="6" t="n">
        <v>81.76</v>
      </c>
      <c r="I120" s="7" t="n">
        <v>855403.5</v>
      </c>
      <c r="J120" s="6" t="n">
        <v>56.54</v>
      </c>
      <c r="K120" s="8" t="n">
        <v>75801</v>
      </c>
      <c r="L120" s="7" t="n">
        <v>904742</v>
      </c>
      <c r="M120" s="7" t="n">
        <v>33930778.4</v>
      </c>
      <c r="N120" s="9" t="n">
        <v>33930.78</v>
      </c>
      <c r="O120" s="8" t="n">
        <v>2998983</v>
      </c>
      <c r="P120" s="10" t="n">
        <f aca="false">VALUE(LEFT(B120,4))</f>
        <v>2024</v>
      </c>
      <c r="Q120" s="6" t="n">
        <f aca="false">IF(N119=0,"",(N120-N119)/N119*100)</f>
        <v>2.7394746690793</v>
      </c>
    </row>
    <row r="121" customFormat="false" ht="15" hidden="false" customHeight="false" outlineLevel="0" collapsed="false">
      <c r="B121" s="4" t="s">
        <v>141</v>
      </c>
      <c r="C121" s="4" t="s">
        <v>35</v>
      </c>
      <c r="D121" s="5" t="n">
        <v>1</v>
      </c>
      <c r="E121" s="6" t="n">
        <v>72.3</v>
      </c>
      <c r="F121" s="6" t="n">
        <v>65.07</v>
      </c>
      <c r="G121" s="6" t="n">
        <v>111.77</v>
      </c>
      <c r="H121" s="6" t="n">
        <v>77.07</v>
      </c>
      <c r="I121" s="7" t="n">
        <v>1469109.8</v>
      </c>
      <c r="J121" s="6" t="n">
        <v>81.55</v>
      </c>
      <c r="K121" s="8" t="n">
        <v>76729</v>
      </c>
      <c r="L121" s="7" t="n">
        <v>858012.2</v>
      </c>
      <c r="M121" s="7" t="n">
        <v>34788790.6</v>
      </c>
      <c r="N121" s="9" t="n">
        <v>34788.79</v>
      </c>
      <c r="O121" s="8" t="n">
        <v>3075712</v>
      </c>
      <c r="P121" s="10" t="n">
        <f aca="false">VALUE(LEFT(B121,4))</f>
        <v>2024</v>
      </c>
      <c r="Q121" s="6" t="n">
        <f aca="false">IF(N120=0,"",(N121-N120)/N120*100)</f>
        <v>2.52870697343239</v>
      </c>
    </row>
    <row r="122" customFormat="false" ht="15" hidden="false" customHeight="false" outlineLevel="0" collapsed="false">
      <c r="B122" s="4" t="s">
        <v>142</v>
      </c>
      <c r="C122" s="4" t="s">
        <v>37</v>
      </c>
      <c r="D122" s="5" t="n">
        <v>0</v>
      </c>
      <c r="E122" s="6" t="n">
        <v>56.54</v>
      </c>
      <c r="F122" s="6" t="n">
        <v>74.9</v>
      </c>
      <c r="G122" s="6" t="n">
        <v>97.35</v>
      </c>
      <c r="H122" s="6" t="n">
        <v>211.99</v>
      </c>
      <c r="I122" s="7" t="n">
        <v>2302015.7</v>
      </c>
      <c r="J122" s="6" t="n">
        <v>110.2</v>
      </c>
      <c r="K122" s="8" t="n">
        <v>86904</v>
      </c>
      <c r="L122" s="7" t="n">
        <v>1023613.9</v>
      </c>
      <c r="M122" s="7" t="n">
        <v>35812404.6</v>
      </c>
      <c r="N122" s="9" t="n">
        <v>35812.4</v>
      </c>
      <c r="O122" s="8" t="n">
        <v>3162616</v>
      </c>
      <c r="P122" s="10" t="n">
        <f aca="false">VALUE(LEFT(B122,4))</f>
        <v>2024</v>
      </c>
      <c r="Q122" s="6" t="n">
        <f aca="false">IF(N121=0,"",(N122-N121)/N121*100)</f>
        <v>2.94235585658484</v>
      </c>
    </row>
    <row r="123" customFormat="false" ht="15" hidden="false" customHeight="false" outlineLevel="0" collapsed="false">
      <c r="B123" s="4" t="s">
        <v>143</v>
      </c>
      <c r="C123" s="4" t="s">
        <v>37</v>
      </c>
      <c r="D123" s="5" t="n">
        <v>0</v>
      </c>
      <c r="E123" s="6" t="n">
        <v>101.82</v>
      </c>
      <c r="F123" s="6" t="n">
        <v>108.12</v>
      </c>
      <c r="G123" s="6" t="n">
        <v>97.63</v>
      </c>
      <c r="H123" s="6" t="n">
        <v>70.22</v>
      </c>
      <c r="I123" s="7" t="n">
        <v>3118232</v>
      </c>
      <c r="J123" s="6" t="n">
        <v>94.45</v>
      </c>
      <c r="K123" s="8" t="n">
        <v>74810</v>
      </c>
      <c r="L123" s="7" t="n">
        <v>851456.6</v>
      </c>
      <c r="M123" s="7" t="n">
        <v>36663861.2</v>
      </c>
      <c r="N123" s="9" t="n">
        <v>36663.86</v>
      </c>
      <c r="O123" s="8" t="n">
        <v>3237426</v>
      </c>
      <c r="P123" s="10" t="n">
        <f aca="false">VALUE(LEFT(B123,4))</f>
        <v>2025</v>
      </c>
      <c r="Q123" s="6" t="n">
        <f aca="false">IF(N122=0,"",(N123-N122)/N122*100)</f>
        <v>2.37755637712077</v>
      </c>
    </row>
    <row r="124" customFormat="false" ht="15" hidden="false" customHeight="false" outlineLevel="0" collapsed="false">
      <c r="B124" s="4" t="s">
        <v>144</v>
      </c>
      <c r="C124" s="4" t="s">
        <v>37</v>
      </c>
      <c r="D124" s="5" t="n">
        <v>0</v>
      </c>
      <c r="E124" s="6" t="n">
        <v>87.48</v>
      </c>
      <c r="F124" s="6" t="n">
        <v>112.58</v>
      </c>
      <c r="G124" s="6" t="n">
        <v>84.08</v>
      </c>
      <c r="H124" s="6" t="n">
        <v>85.21</v>
      </c>
      <c r="I124" s="7" t="n">
        <v>2934825.7</v>
      </c>
      <c r="J124" s="6" t="n">
        <v>92.34</v>
      </c>
      <c r="K124" s="8" t="n">
        <v>75443</v>
      </c>
      <c r="L124" s="7" t="n">
        <v>809863.3</v>
      </c>
      <c r="M124" s="7" t="n">
        <v>37473724.5</v>
      </c>
      <c r="N124" s="9" t="n">
        <v>37473.72</v>
      </c>
      <c r="O124" s="8" t="n">
        <v>3312869</v>
      </c>
      <c r="P124" s="10" t="n">
        <f aca="false">VALUE(LEFT(B124,4))</f>
        <v>2025</v>
      </c>
      <c r="Q124" s="6" t="n">
        <f aca="false">IF(N123=0,"",(N124-N123)/N123*100)</f>
        <v>2.20887817049269</v>
      </c>
    </row>
    <row r="125" customFormat="false" ht="15" hidden="false" customHeight="false" outlineLevel="0" collapsed="false">
      <c r="B125" s="4" t="s">
        <v>145</v>
      </c>
      <c r="C125" s="4" t="s">
        <v>37</v>
      </c>
      <c r="D125" s="5" t="n">
        <v>0</v>
      </c>
      <c r="E125" s="6" t="n">
        <v>25.37</v>
      </c>
      <c r="F125" s="6" t="n">
        <v>99.82</v>
      </c>
      <c r="G125" s="6" t="n">
        <v>61.86</v>
      </c>
      <c r="H125" s="6" t="n">
        <v>51.96</v>
      </c>
      <c r="I125" s="7" t="n">
        <v>2386131</v>
      </c>
      <c r="J125" s="6" t="n">
        <v>59.75</v>
      </c>
      <c r="K125" s="8" t="n">
        <v>84212</v>
      </c>
      <c r="L125" s="7" t="n">
        <v>890191.2</v>
      </c>
      <c r="M125" s="7" t="n">
        <v>38363915.6</v>
      </c>
      <c r="N125" s="9" t="n">
        <v>38363.92</v>
      </c>
      <c r="O125" s="8" t="n">
        <v>3397081</v>
      </c>
      <c r="P125" s="10" t="n">
        <f aca="false">VALUE(LEFT(B125,4))</f>
        <v>2025</v>
      </c>
      <c r="Q125" s="6" t="n">
        <f aca="false">IF(N124=0,"",(N125-N124)/N124*100)</f>
        <v>2.37553143909918</v>
      </c>
    </row>
    <row r="126" customFormat="false" ht="15" hidden="false" customHeight="false" outlineLevel="0" collapsed="false">
      <c r="B126" s="4" t="s">
        <v>146</v>
      </c>
      <c r="C126" s="4" t="s">
        <v>37</v>
      </c>
      <c r="D126" s="5" t="n">
        <v>0</v>
      </c>
      <c r="E126" s="6" t="n">
        <v>30.49</v>
      </c>
      <c r="F126" s="6" t="n">
        <v>79.25</v>
      </c>
      <c r="G126" s="6" t="n">
        <v>83.82</v>
      </c>
      <c r="H126" s="6" t="n">
        <v>64.21</v>
      </c>
      <c r="I126" s="7" t="n">
        <v>2252481.6</v>
      </c>
      <c r="J126" s="6" t="n">
        <v>64.44</v>
      </c>
      <c r="K126" s="8" t="n">
        <v>80063</v>
      </c>
      <c r="L126" s="7" t="n">
        <v>845013.7</v>
      </c>
      <c r="M126" s="7" t="n">
        <v>39208929.4</v>
      </c>
      <c r="N126" s="9" t="n">
        <v>39208.93</v>
      </c>
      <c r="O126" s="8" t="n">
        <v>3477144</v>
      </c>
      <c r="P126" s="10" t="n">
        <f aca="false">VALUE(LEFT(B126,4))</f>
        <v>2025</v>
      </c>
      <c r="Q126" s="6" t="n">
        <f aca="false">IF(N125=0,"",(N126-N125)/N125*100)</f>
        <v>2.20261641667484</v>
      </c>
    </row>
    <row r="127" customFormat="false" ht="15" hidden="false" customHeight="false" outlineLevel="0" collapsed="false">
      <c r="B127" s="4" t="s">
        <v>147</v>
      </c>
      <c r="C127" s="4" t="s">
        <v>35</v>
      </c>
      <c r="D127" s="5" t="n">
        <v>1</v>
      </c>
      <c r="E127" s="6" t="n">
        <v>46.34</v>
      </c>
      <c r="F127" s="6" t="n">
        <v>66.49</v>
      </c>
      <c r="G127" s="6" t="n">
        <v>84.16</v>
      </c>
      <c r="H127" s="6" t="n">
        <v>39.64</v>
      </c>
      <c r="I127" s="7" t="n">
        <v>1664861.5</v>
      </c>
      <c r="J127" s="6" t="n">
        <v>59.16</v>
      </c>
      <c r="K127" s="8" t="n">
        <v>80534</v>
      </c>
      <c r="L127" s="7" t="n">
        <v>796670.7</v>
      </c>
      <c r="M127" s="7" t="n">
        <v>40005600.1</v>
      </c>
      <c r="N127" s="9" t="n">
        <v>40005.6</v>
      </c>
      <c r="O127" s="8" t="n">
        <v>3557678</v>
      </c>
      <c r="P127" s="10" t="n">
        <f aca="false">VALUE(LEFT(B127,4))</f>
        <v>2025</v>
      </c>
      <c r="Q127" s="6" t="n">
        <f aca="false">IF(N126=0,"",(N127-N126)/N126*100)</f>
        <v>2.03185855875179</v>
      </c>
    </row>
    <row r="128" customFormat="false" ht="15" hidden="false" customHeight="false" outlineLevel="0" collapsed="false">
      <c r="B128" s="4" t="s">
        <v>148</v>
      </c>
      <c r="C128" s="4" t="s">
        <v>19</v>
      </c>
      <c r="D128" s="5" t="n">
        <v>2</v>
      </c>
      <c r="E128" s="6" t="n">
        <v>41.41</v>
      </c>
      <c r="F128" s="6" t="n">
        <v>59.7</v>
      </c>
      <c r="G128" s="6" t="n">
        <v>83.26</v>
      </c>
      <c r="H128" s="6" t="n">
        <v>174.06</v>
      </c>
      <c r="I128" s="7" t="n">
        <v>1611386.2</v>
      </c>
      <c r="J128" s="6" t="n">
        <v>89.61</v>
      </c>
      <c r="K128" s="8" t="n">
        <v>68393</v>
      </c>
      <c r="L128" s="7" t="n">
        <v>739185.9</v>
      </c>
      <c r="M128" s="7" t="n">
        <v>40744786</v>
      </c>
      <c r="N128" s="9" t="n">
        <v>40744.79</v>
      </c>
      <c r="O128" s="8" t="n">
        <v>3626071</v>
      </c>
      <c r="P128" s="10" t="n">
        <f aca="false">VALUE(LEFT(B128,4))</f>
        <v>2025</v>
      </c>
      <c r="Q128" s="6" t="n">
        <f aca="false">IF(N127=0,"",(N128-N127)/N127*100)</f>
        <v>1.84771631971525</v>
      </c>
    </row>
    <row r="129" customFormat="false" ht="15" hidden="false" customHeight="false" outlineLevel="0" collapsed="false">
      <c r="B129" s="4" t="s">
        <v>149</v>
      </c>
      <c r="C129" s="4" t="s">
        <v>19</v>
      </c>
      <c r="D129" s="5" t="n">
        <v>2</v>
      </c>
      <c r="E129" s="6" t="n">
        <v>46.45</v>
      </c>
      <c r="F129" s="6" t="n">
        <v>65.55</v>
      </c>
      <c r="G129" s="6" t="n">
        <v>79.68</v>
      </c>
      <c r="H129" s="6" t="n">
        <v>111.54</v>
      </c>
      <c r="I129" s="7" t="n">
        <v>1170784.3</v>
      </c>
      <c r="J129" s="6" t="n">
        <v>75.81</v>
      </c>
      <c r="K129" s="8" t="n">
        <v>75144</v>
      </c>
      <c r="L129" s="7" t="n">
        <v>829654.9</v>
      </c>
      <c r="M129" s="7" t="n">
        <v>41574440.9</v>
      </c>
      <c r="N129" s="9" t="n">
        <v>41574.44</v>
      </c>
      <c r="O129" s="8" t="n">
        <v>3701215</v>
      </c>
      <c r="P129" s="10" t="n">
        <f aca="false">VALUE(LEFT(B129,4))</f>
        <v>2025</v>
      </c>
      <c r="Q129" s="6" t="n">
        <f aca="false">IF(N128=0,"",(N129-N128)/N128*100)</f>
        <v>2.03621125547586</v>
      </c>
    </row>
    <row r="130" customFormat="false" ht="15" hidden="false" customHeight="false" outlineLevel="0" collapsed="false">
      <c r="B130" s="4" t="s">
        <v>150</v>
      </c>
      <c r="C130" s="4" t="s">
        <v>33</v>
      </c>
      <c r="D130" s="5" t="n">
        <v>3</v>
      </c>
      <c r="E130" s="6" t="n">
        <v>43.88</v>
      </c>
      <c r="F130" s="6" t="n">
        <v>69.34</v>
      </c>
      <c r="G130" s="6" t="n">
        <v>70.68</v>
      </c>
      <c r="H130" s="6" t="n">
        <v>103.98</v>
      </c>
      <c r="I130" s="7" t="n">
        <v>884382.8</v>
      </c>
      <c r="J130" s="6" t="n">
        <v>71.97</v>
      </c>
      <c r="K130" s="8" t="n">
        <v>65526</v>
      </c>
      <c r="L130" s="7" t="n">
        <v>722529.9</v>
      </c>
      <c r="M130" s="7" t="n">
        <v>42296970.8</v>
      </c>
      <c r="N130" s="9" t="n">
        <v>42296.97</v>
      </c>
      <c r="O130" s="8" t="n">
        <v>3766741</v>
      </c>
      <c r="P130" s="10" t="n">
        <f aca="false">VALUE(LEFT(B130,4))</f>
        <v>2025</v>
      </c>
      <c r="Q130" s="6" t="n">
        <f aca="false">IF(N129=0,"",(N130-N129)/N129*100)</f>
        <v>1.73791877894206</v>
      </c>
    </row>
    <row r="131" customFormat="false" ht="15" hidden="false" customHeight="false" outlineLevel="0" collapsed="false">
      <c r="B131" s="4" t="s">
        <v>151</v>
      </c>
      <c r="C131" s="4" t="s">
        <v>33</v>
      </c>
      <c r="D131" s="5" t="n">
        <v>3</v>
      </c>
      <c r="E131" s="6" t="n">
        <v>43.03</v>
      </c>
      <c r="F131" s="6" t="n">
        <v>59.41</v>
      </c>
      <c r="G131" s="6" t="n">
        <v>61.48</v>
      </c>
      <c r="H131" s="6" t="n">
        <v>107.52</v>
      </c>
      <c r="I131" s="7" t="n">
        <v>817526.6</v>
      </c>
      <c r="J131" s="6" t="n">
        <v>67.86</v>
      </c>
      <c r="K131" s="8" t="n">
        <v>66050</v>
      </c>
      <c r="L131" s="7" t="n">
        <v>660939.5</v>
      </c>
      <c r="M131" s="7" t="n">
        <v>42957910.3</v>
      </c>
      <c r="N131" s="9" t="n">
        <v>42957.91</v>
      </c>
      <c r="O131" s="8" t="n">
        <v>3832791</v>
      </c>
      <c r="P131" s="10" t="n">
        <f aca="false">VALUE(LEFT(B131,4))</f>
        <v>2025</v>
      </c>
      <c r="Q131" s="6" t="n">
        <f aca="false">IF(N130=0,"",(N131-N130)/N130*100)</f>
        <v>1.56261784236555</v>
      </c>
    </row>
    <row r="132" customFormat="false" ht="15" hidden="false" customHeight="false" outlineLevel="0" collapsed="false">
      <c r="B132" s="4" t="s">
        <v>152</v>
      </c>
      <c r="C132" s="4" t="s">
        <v>19</v>
      </c>
      <c r="D132" s="5" t="n">
        <v>2</v>
      </c>
      <c r="E132" s="6" t="n">
        <v>36.19</v>
      </c>
      <c r="F132" s="6" t="n">
        <v>52.6</v>
      </c>
      <c r="G132" s="6" t="n">
        <v>60.1</v>
      </c>
      <c r="H132" s="6" t="n">
        <v>87.75</v>
      </c>
      <c r="I132" s="7" t="n">
        <v>889001.3</v>
      </c>
      <c r="J132" s="6" t="n">
        <v>59.16</v>
      </c>
      <c r="K132" s="8" t="n">
        <v>68033</v>
      </c>
      <c r="L132" s="7" t="n">
        <v>774645.6</v>
      </c>
      <c r="M132" s="7" t="n">
        <v>43732555.9</v>
      </c>
      <c r="N132" s="9" t="n">
        <v>43732.56</v>
      </c>
      <c r="O132" s="8" t="n">
        <v>3900824</v>
      </c>
      <c r="P132" s="10" t="n">
        <f aca="false">VALUE(LEFT(B132,4))</f>
        <v>2025</v>
      </c>
      <c r="Q132" s="6" t="n">
        <f aca="false">IF(N131=0,"",(N132-N131)/N131*100)</f>
        <v>1.80327674228098</v>
      </c>
    </row>
    <row r="133" customFormat="false" ht="15" hidden="false" customHeight="false" outlineLevel="0" collapsed="false">
      <c r="B133" s="4" t="s">
        <v>153</v>
      </c>
      <c r="C133" s="4" t="s">
        <v>19</v>
      </c>
      <c r="D133" s="5" t="n">
        <v>2</v>
      </c>
      <c r="E133" s="6" t="n">
        <v>30.92</v>
      </c>
      <c r="F133" s="6" t="n">
        <v>44.61</v>
      </c>
      <c r="G133" s="6" t="n">
        <v>74.17</v>
      </c>
      <c r="H133" s="6" t="n">
        <v>94.63</v>
      </c>
      <c r="I133" s="7" t="n">
        <v>1077886.6</v>
      </c>
      <c r="J133" s="6" t="n">
        <v>61.08</v>
      </c>
      <c r="K133" s="8" t="n">
        <v>69626</v>
      </c>
      <c r="L133" s="7" t="n">
        <v>685144.8</v>
      </c>
      <c r="M133" s="7" t="n">
        <v>44417700.7</v>
      </c>
      <c r="N133" s="9" t="n">
        <v>44417.7</v>
      </c>
      <c r="O133" s="8" t="n">
        <v>3970450</v>
      </c>
      <c r="P133" s="10" t="n">
        <f aca="false">VALUE(LEFT(B133,4))</f>
        <v>2025</v>
      </c>
      <c r="Q133" s="6" t="n">
        <f aca="false">IF(N132=0,"",(N133-N132)/N132*100)</f>
        <v>1.56665880067391</v>
      </c>
    </row>
    <row r="134" customFormat="false" ht="15" hidden="false" customHeight="false" outlineLevel="0" collapsed="false">
      <c r="B134" s="4" t="s">
        <v>154</v>
      </c>
      <c r="C134" s="4" t="s">
        <v>35</v>
      </c>
      <c r="D134" s="5" t="n">
        <v>1</v>
      </c>
      <c r="E134" s="6" t="n">
        <v>41.88</v>
      </c>
      <c r="F134" s="6" t="n">
        <v>63.91</v>
      </c>
      <c r="G134" s="6" t="n">
        <v>71.04</v>
      </c>
      <c r="H134" s="6" t="n">
        <v>81.08</v>
      </c>
      <c r="I134" s="7" t="n">
        <v>1538274.1</v>
      </c>
      <c r="J134" s="6" t="n">
        <v>64.48</v>
      </c>
      <c r="K134" s="8" t="n">
        <v>79077</v>
      </c>
      <c r="L134" s="7" t="n">
        <v>728487.4</v>
      </c>
      <c r="M134" s="7" t="n">
        <v>45146188.1</v>
      </c>
      <c r="N134" s="9" t="n">
        <v>45146.19</v>
      </c>
      <c r="O134" s="8" t="n">
        <v>4049527</v>
      </c>
      <c r="P134" s="10" t="n">
        <f aca="false">VALUE(LEFT(B134,4))</f>
        <v>2025</v>
      </c>
      <c r="Q134" s="6" t="n">
        <f aca="false">IF(N133=0,"",(N134-N133)/N133*100)</f>
        <v>1.64008942381079</v>
      </c>
    </row>
    <row r="135" customFormat="false" ht="15" hidden="false" customHeight="false" outlineLevel="0" collapsed="false">
      <c r="B135" s="4" t="s">
        <v>155</v>
      </c>
      <c r="C135" s="4" t="s">
        <v>37</v>
      </c>
      <c r="D135" s="5" t="n">
        <v>0</v>
      </c>
      <c r="E135" s="6" t="n">
        <v>44.82</v>
      </c>
      <c r="F135" s="6" t="n">
        <v>61.08</v>
      </c>
      <c r="G135" s="6" t="n">
        <v>65</v>
      </c>
      <c r="H135" s="6" t="n">
        <v>85.84</v>
      </c>
      <c r="I135" s="7" t="n">
        <v>2016733.8</v>
      </c>
      <c r="J135" s="6" t="n">
        <v>64.18</v>
      </c>
      <c r="K135" s="8" t="n">
        <v>74576</v>
      </c>
      <c r="L135" s="7" t="n">
        <v>710908.3</v>
      </c>
      <c r="M135" s="7" t="n">
        <v>45857096.4</v>
      </c>
      <c r="N135" s="9" t="n">
        <v>45857.1</v>
      </c>
      <c r="O135" s="8" t="n">
        <v>4124103</v>
      </c>
      <c r="P135" s="10" t="n">
        <f aca="false">VALUE(LEFT(B135,4))</f>
        <v>2026</v>
      </c>
      <c r="Q135" s="6" t="n">
        <f aca="false">IF(N134=0,"",(N135-N134)/N134*100)</f>
        <v>1.57468437535924</v>
      </c>
    </row>
    <row r="136" customFormat="false" ht="15" hidden="false" customHeight="false" outlineLevel="0" collapsed="false">
      <c r="B136" s="4" t="s">
        <v>156</v>
      </c>
      <c r="C136" s="4" t="s">
        <v>37</v>
      </c>
      <c r="D136" s="5" t="n">
        <v>0</v>
      </c>
      <c r="E136" s="6" t="n">
        <v>93.33</v>
      </c>
      <c r="F136" s="6" t="n">
        <v>61.79</v>
      </c>
      <c r="G136" s="6" t="n">
        <v>89.02</v>
      </c>
      <c r="H136" s="6" t="n">
        <v>51.87</v>
      </c>
      <c r="I136" s="7" t="n">
        <v>2659712.7</v>
      </c>
      <c r="J136" s="6" t="n">
        <v>74</v>
      </c>
      <c r="K136" s="8" t="n">
        <v>75121</v>
      </c>
      <c r="L136" s="7" t="n">
        <v>649507.3</v>
      </c>
      <c r="M136" s="7" t="n">
        <v>46506603.7</v>
      </c>
      <c r="N136" s="9" t="n">
        <v>46506.6</v>
      </c>
      <c r="O136" s="8" t="n">
        <v>4199224</v>
      </c>
      <c r="P136" s="10" t="n">
        <f aca="false">VALUE(LEFT(B136,4))</f>
        <v>2026</v>
      </c>
      <c r="Q136" s="6" t="n">
        <f aca="false">IF(N135=0,"",(N136-N135)/N135*100)</f>
        <v>1.41635646388455</v>
      </c>
    </row>
    <row r="137" customFormat="false" ht="15" hidden="false" customHeight="false" outlineLevel="0" collapsed="false">
      <c r="B137" s="4" t="s">
        <v>157</v>
      </c>
      <c r="C137" s="4" t="s">
        <v>37</v>
      </c>
      <c r="D137" s="5" t="n">
        <v>0</v>
      </c>
      <c r="E137" s="6" t="n">
        <v>105.16</v>
      </c>
      <c r="F137" s="6" t="n">
        <v>96.79</v>
      </c>
      <c r="G137" s="6" t="n">
        <v>89.51</v>
      </c>
      <c r="H137" s="6" t="n">
        <v>45.2</v>
      </c>
      <c r="I137" s="7" t="n">
        <v>3291026.4</v>
      </c>
      <c r="J137" s="6" t="n">
        <v>84.17</v>
      </c>
      <c r="K137" s="8" t="n">
        <v>78681</v>
      </c>
      <c r="L137" s="7" t="n">
        <v>668302.2</v>
      </c>
      <c r="M137" s="7" t="n">
        <v>47174905.9</v>
      </c>
      <c r="N137" s="9" t="n">
        <v>47174.91</v>
      </c>
      <c r="O137" s="8" t="n">
        <v>4277905</v>
      </c>
      <c r="P137" s="10" t="n">
        <f aca="false">VALUE(LEFT(B137,4))</f>
        <v>2026</v>
      </c>
      <c r="Q137" s="6" t="n">
        <f aca="false">IF(N136=0,"",(N137-N136)/N136*100)</f>
        <v>1.43702184206114</v>
      </c>
    </row>
    <row r="138" customFormat="false" ht="15" hidden="false" customHeight="false" outlineLevel="0" collapsed="false">
      <c r="B138" s="4" t="s">
        <v>158</v>
      </c>
      <c r="C138" s="4" t="s">
        <v>37</v>
      </c>
      <c r="D138" s="5" t="n">
        <v>0</v>
      </c>
      <c r="E138" s="6" t="n">
        <v>88.36</v>
      </c>
      <c r="F138" s="6" t="n">
        <v>82.97</v>
      </c>
      <c r="G138" s="6" t="n">
        <v>83.22</v>
      </c>
      <c r="H138" s="6" t="n">
        <v>52.77</v>
      </c>
      <c r="I138" s="7" t="n">
        <v>2450677.5</v>
      </c>
      <c r="J138" s="6" t="n">
        <v>76.83</v>
      </c>
      <c r="K138" s="8" t="n">
        <v>79176</v>
      </c>
      <c r="L138" s="7" t="n">
        <v>717112.6</v>
      </c>
      <c r="M138" s="7" t="n">
        <v>47892018.5</v>
      </c>
      <c r="N138" s="9" t="n">
        <v>47892.02</v>
      </c>
      <c r="O138" s="8" t="n">
        <v>4357081</v>
      </c>
      <c r="P138" s="10" t="n">
        <f aca="false">VALUE(LEFT(B138,4))</f>
        <v>2026</v>
      </c>
      <c r="Q138" s="6" t="n">
        <f aca="false">IF(N137=0,"",(N138-N137)/N137*100)</f>
        <v>1.52010888839002</v>
      </c>
    </row>
    <row r="139" customFormat="false" ht="15" hidden="false" customHeight="false" outlineLevel="0" collapsed="false">
      <c r="B139" s="4" t="s">
        <v>159</v>
      </c>
      <c r="C139" s="4" t="s">
        <v>35</v>
      </c>
      <c r="D139" s="5" t="n">
        <v>1</v>
      </c>
      <c r="E139" s="6" t="n">
        <v>53.06</v>
      </c>
      <c r="F139" s="6" t="n">
        <v>76.52</v>
      </c>
      <c r="G139" s="6" t="n">
        <v>86.68</v>
      </c>
      <c r="H139" s="6" t="n">
        <v>111.94</v>
      </c>
      <c r="I139" s="7" t="n">
        <v>1969485.9</v>
      </c>
      <c r="J139" s="6" t="n">
        <v>82.05</v>
      </c>
      <c r="K139" s="8" t="n">
        <v>48420</v>
      </c>
      <c r="L139" s="7" t="n">
        <v>410453.8</v>
      </c>
      <c r="M139" s="7" t="n">
        <v>48302472.4</v>
      </c>
      <c r="N139" s="9" t="n">
        <v>48302.47</v>
      </c>
      <c r="O139" s="8" t="n">
        <v>4405501</v>
      </c>
      <c r="P139" s="10" t="n">
        <f aca="false">VALUE(LEFT(B139,4))</f>
        <v>2026</v>
      </c>
      <c r="Q139" s="6" t="n">
        <f aca="false">IF(N138=0,"",(N139-N138)/N138*100)</f>
        <v>0.857032131866654</v>
      </c>
    </row>
    <row r="140" customFormat="false" ht="15" hidden="false" customHeight="false" outlineLevel="0" collapsed="false">
      <c r="B140" s="4" t="s">
        <v>160</v>
      </c>
      <c r="C140" s="4" t="s">
        <v>35</v>
      </c>
      <c r="D140" s="5" t="n">
        <v>1</v>
      </c>
      <c r="E140" s="6" t="n">
        <v>57.07</v>
      </c>
      <c r="F140" s="6" t="n">
        <v>58.56</v>
      </c>
      <c r="G140" s="6" t="n">
        <v>93.17</v>
      </c>
      <c r="H140" s="6" t="n">
        <v>76.49</v>
      </c>
      <c r="I140" s="7" t="n">
        <v>1418612</v>
      </c>
      <c r="J140" s="6" t="n">
        <v>71.32</v>
      </c>
      <c r="K140" s="8" t="n">
        <v>42376</v>
      </c>
      <c r="L140" s="7" t="n">
        <v>370798.2</v>
      </c>
      <c r="M140" s="7" t="n">
        <v>48673270.6</v>
      </c>
      <c r="N140" s="9" t="n">
        <v>48673.27</v>
      </c>
      <c r="O140" s="8" t="n">
        <v>4447877</v>
      </c>
      <c r="P140" s="10" t="n">
        <f aca="false">VALUE(LEFT(B140,4))</f>
        <v>2026</v>
      </c>
      <c r="Q140" s="6" t="n">
        <f aca="false">IF(N139=0,"",(N140-N139)/N139*100)</f>
        <v>0.767662606073759</v>
      </c>
    </row>
    <row r="141" customFormat="false" ht="15" hidden="false" customHeight="false" outlineLevel="0" collapsed="false">
      <c r="B141" s="4" t="s">
        <v>161</v>
      </c>
      <c r="C141" s="4" t="s">
        <v>35</v>
      </c>
      <c r="D141" s="5" t="n">
        <v>1</v>
      </c>
      <c r="E141" s="6" t="n">
        <v>62.32</v>
      </c>
      <c r="F141" s="6" t="n">
        <v>63.83</v>
      </c>
      <c r="G141" s="6" t="n">
        <v>93.71</v>
      </c>
      <c r="H141" s="6" t="n">
        <v>260.44</v>
      </c>
      <c r="I141" s="7" t="n">
        <v>1805482</v>
      </c>
      <c r="J141" s="6" t="n">
        <v>120.08</v>
      </c>
      <c r="K141" s="8" t="n">
        <v>14087</v>
      </c>
      <c r="L141" s="7" t="n">
        <v>103558.5</v>
      </c>
      <c r="M141" s="7" t="n">
        <v>48776829.1</v>
      </c>
      <c r="N141" s="9" t="n">
        <v>48776.83</v>
      </c>
      <c r="O141" s="8" t="n">
        <v>4461964</v>
      </c>
      <c r="P141" s="10" t="n">
        <f aca="false">VALUE(LEFT(B141,4))</f>
        <v>2026</v>
      </c>
      <c r="Q141" s="6" t="n">
        <f aca="false">IF(N140=0,"",(N141-N140)/N140*100)</f>
        <v>0.212765651455111</v>
      </c>
    </row>
    <row r="142" customFormat="false" ht="15" hidden="false" customHeight="false" outlineLevel="0" collapsed="false">
      <c r="B142" s="4" t="s">
        <v>162</v>
      </c>
      <c r="C142" s="4" t="s">
        <v>35</v>
      </c>
      <c r="D142" s="5" t="n">
        <v>1</v>
      </c>
      <c r="E142" s="6" t="n">
        <v>64.41</v>
      </c>
      <c r="F142" s="6" t="n">
        <v>67.5</v>
      </c>
      <c r="G142" s="6" t="n">
        <v>99.95</v>
      </c>
      <c r="H142" s="6" t="n">
        <v>208.69</v>
      </c>
      <c r="I142" s="7" t="n">
        <v>867342</v>
      </c>
      <c r="J142" s="6" t="n">
        <v>110.14</v>
      </c>
      <c r="K142" s="8" t="n">
        <v>4</v>
      </c>
      <c r="L142" s="7" t="n">
        <v>22.5</v>
      </c>
      <c r="M142" s="7" t="n">
        <v>48776851.6</v>
      </c>
      <c r="N142" s="9" t="n">
        <v>48776.85</v>
      </c>
      <c r="O142" s="8" t="n">
        <v>4461968</v>
      </c>
      <c r="P142" s="10" t="n">
        <f aca="false">VALUE(LEFT(B142,4))</f>
        <v>2026</v>
      </c>
      <c r="Q142" s="6" t="n">
        <f aca="false">IF(N141=0,"",(N142-N141)/N141*100)</f>
        <v>4.10030746089866E-005</v>
      </c>
    </row>
  </sheetData>
  <autoFilter ref="B2:Q1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7" min="6" style="0" width="18"/>
    <col collapsed="false" customWidth="true" hidden="false" outlineLevel="0" max="8" min="8" style="0" width="16"/>
  </cols>
  <sheetData>
    <row r="2" customFormat="false" ht="28.35" hidden="false" customHeight="false" outlineLevel="0" collapsed="false">
      <c r="B2" s="3" t="s">
        <v>163</v>
      </c>
      <c r="C2" s="3" t="s">
        <v>164</v>
      </c>
      <c r="D2" s="3" t="s">
        <v>165</v>
      </c>
      <c r="E2" s="3" t="s">
        <v>166</v>
      </c>
      <c r="F2" s="3" t="s">
        <v>167</v>
      </c>
      <c r="G2" s="3" t="s">
        <v>168</v>
      </c>
      <c r="H2" s="3" t="s">
        <v>169</v>
      </c>
    </row>
    <row r="3" customFormat="false" ht="15" hidden="false" customHeight="false" outlineLevel="0" collapsed="false">
      <c r="B3" s="4" t="s">
        <v>170</v>
      </c>
      <c r="C3" s="5" t="n">
        <v>2</v>
      </c>
      <c r="D3" s="6" t="n">
        <v>2</v>
      </c>
      <c r="E3" s="6" t="n">
        <v>76.73</v>
      </c>
      <c r="F3" s="6" t="n">
        <v>59.55</v>
      </c>
      <c r="G3" s="9" t="n">
        <v>5.82</v>
      </c>
      <c r="H3" s="6"/>
    </row>
    <row r="4" customFormat="false" ht="15" hidden="false" customHeight="false" outlineLevel="0" collapsed="false">
      <c r="B4" s="4" t="s">
        <v>171</v>
      </c>
      <c r="C4" s="5" t="n">
        <v>2</v>
      </c>
      <c r="D4" s="6" t="n">
        <v>2</v>
      </c>
      <c r="E4" s="6" t="n">
        <v>88.21</v>
      </c>
      <c r="F4" s="6" t="n">
        <v>92.89</v>
      </c>
      <c r="G4" s="9" t="n">
        <v>7.18</v>
      </c>
      <c r="H4" s="6" t="n">
        <v>23.45</v>
      </c>
    </row>
    <row r="5" customFormat="false" ht="15" hidden="false" customHeight="false" outlineLevel="0" collapsed="false">
      <c r="B5" s="4" t="s">
        <v>172</v>
      </c>
      <c r="C5" s="5" t="n">
        <v>2</v>
      </c>
      <c r="D5" s="6" t="n">
        <v>2</v>
      </c>
      <c r="E5" s="6" t="n">
        <v>97.43</v>
      </c>
      <c r="F5" s="6" t="n">
        <v>114.23</v>
      </c>
      <c r="G5" s="9" t="n">
        <v>9.97</v>
      </c>
      <c r="H5" s="6" t="n">
        <v>38.75</v>
      </c>
    </row>
    <row r="6" customFormat="false" ht="15" hidden="false" customHeight="false" outlineLevel="0" collapsed="false">
      <c r="B6" s="4" t="s">
        <v>173</v>
      </c>
      <c r="C6" s="5" t="n">
        <v>2</v>
      </c>
      <c r="D6" s="6" t="n">
        <v>2</v>
      </c>
      <c r="E6" s="6" t="n">
        <v>104.18</v>
      </c>
      <c r="F6" s="6" t="n">
        <v>105.15</v>
      </c>
      <c r="G6" s="9" t="n">
        <v>14.85</v>
      </c>
      <c r="H6" s="6" t="n">
        <v>48.97</v>
      </c>
    </row>
    <row r="7" customFormat="false" ht="15" hidden="false" customHeight="false" outlineLevel="0" collapsed="false">
      <c r="B7" s="4" t="s">
        <v>174</v>
      </c>
      <c r="C7" s="5" t="n">
        <v>3</v>
      </c>
      <c r="D7" s="6" t="n">
        <v>2</v>
      </c>
      <c r="E7" s="6" t="n">
        <v>103.61</v>
      </c>
      <c r="F7" s="6" t="n">
        <v>104.89</v>
      </c>
      <c r="G7" s="9" t="n">
        <v>21.15</v>
      </c>
      <c r="H7" s="6" t="n">
        <v>42.43</v>
      </c>
    </row>
    <row r="8" customFormat="false" ht="15" hidden="false" customHeight="false" outlineLevel="0" collapsed="false">
      <c r="B8" s="4" t="s">
        <v>175</v>
      </c>
      <c r="C8" s="5" t="n">
        <v>0</v>
      </c>
      <c r="D8" s="6" t="n">
        <v>0</v>
      </c>
      <c r="E8" s="6" t="n">
        <v>71.39</v>
      </c>
      <c r="F8" s="6" t="n">
        <v>94.31</v>
      </c>
      <c r="G8" s="9" t="n">
        <v>32.08</v>
      </c>
      <c r="H8" s="6" t="n">
        <v>51.69</v>
      </c>
    </row>
    <row r="9" customFormat="false" ht="15" hidden="false" customHeight="false" outlineLevel="0" collapsed="false">
      <c r="B9" s="4" t="s">
        <v>176</v>
      </c>
      <c r="C9" s="5" t="n">
        <v>0</v>
      </c>
      <c r="D9" s="6" t="n">
        <v>0</v>
      </c>
      <c r="E9" s="6" t="n">
        <v>69.47</v>
      </c>
      <c r="F9" s="6" t="n">
        <v>96.93</v>
      </c>
      <c r="G9" s="9" t="n">
        <v>43.64</v>
      </c>
      <c r="H9" s="6" t="n">
        <v>36.03</v>
      </c>
    </row>
    <row r="10" customFormat="false" ht="15" hidden="false" customHeight="false" outlineLevel="0" collapsed="false">
      <c r="B10" s="4" t="s">
        <v>177</v>
      </c>
      <c r="C10" s="5" t="n">
        <v>1</v>
      </c>
      <c r="D10" s="6" t="n">
        <v>0.33</v>
      </c>
      <c r="E10" s="6" t="n">
        <v>67.22</v>
      </c>
      <c r="F10" s="6" t="n">
        <v>83.99</v>
      </c>
      <c r="G10" s="9" t="n">
        <v>58.74</v>
      </c>
      <c r="H10" s="6" t="n">
        <v>34.61</v>
      </c>
    </row>
    <row r="11" customFormat="false" ht="15" hidden="false" customHeight="false" outlineLevel="0" collapsed="false">
      <c r="B11" s="4" t="s">
        <v>178</v>
      </c>
      <c r="C11" s="5" t="n">
        <v>1</v>
      </c>
      <c r="D11" s="6" t="n">
        <v>0.33</v>
      </c>
      <c r="E11" s="6" t="n">
        <v>70.15</v>
      </c>
      <c r="F11" s="6" t="n">
        <v>69.44</v>
      </c>
      <c r="G11" s="9" t="n">
        <v>73.74</v>
      </c>
      <c r="H11" s="6" t="n">
        <v>25.54</v>
      </c>
    </row>
    <row r="12" customFormat="false" ht="15" hidden="false" customHeight="false" outlineLevel="0" collapsed="false">
      <c r="B12" s="4" t="s">
        <v>179</v>
      </c>
      <c r="C12" s="5" t="n">
        <v>2</v>
      </c>
      <c r="D12" s="6" t="n">
        <v>1.33</v>
      </c>
      <c r="E12" s="6" t="n">
        <v>89.38</v>
      </c>
      <c r="F12" s="6" t="n">
        <v>93.42</v>
      </c>
      <c r="G12" s="9" t="n">
        <v>98.41</v>
      </c>
      <c r="H12" s="6" t="n">
        <v>33.45</v>
      </c>
    </row>
    <row r="13" customFormat="false" ht="15" hidden="false" customHeight="false" outlineLevel="0" collapsed="false">
      <c r="B13" s="4" t="s">
        <v>180</v>
      </c>
      <c r="C13" s="5" t="n">
        <v>2</v>
      </c>
      <c r="D13" s="6" t="n">
        <v>1.33</v>
      </c>
      <c r="E13" s="6" t="n">
        <v>51.99</v>
      </c>
      <c r="F13" s="6" t="n">
        <v>76.93</v>
      </c>
      <c r="G13" s="9" t="n">
        <v>134.6</v>
      </c>
      <c r="H13" s="6" t="n">
        <v>36.78</v>
      </c>
    </row>
    <row r="14" customFormat="false" ht="15" hidden="false" customHeight="false" outlineLevel="0" collapsed="false">
      <c r="B14" s="4" t="s">
        <v>181</v>
      </c>
      <c r="C14" s="5" t="n">
        <v>3</v>
      </c>
      <c r="D14" s="6" t="n">
        <v>2.67</v>
      </c>
      <c r="E14" s="6" t="n">
        <v>71.48</v>
      </c>
      <c r="F14" s="6" t="n">
        <v>88.7</v>
      </c>
      <c r="G14" s="9" t="n">
        <v>184.11</v>
      </c>
      <c r="H14" s="6" t="n">
        <v>36.78</v>
      </c>
    </row>
    <row r="15" customFormat="false" ht="15" hidden="false" customHeight="false" outlineLevel="0" collapsed="false">
      <c r="B15" s="4" t="s">
        <v>182</v>
      </c>
      <c r="C15" s="5" t="n">
        <v>0</v>
      </c>
      <c r="D15" s="6" t="n">
        <v>0</v>
      </c>
      <c r="E15" s="6" t="n">
        <v>86.96</v>
      </c>
      <c r="F15" s="6" t="n">
        <v>89.59</v>
      </c>
      <c r="G15" s="9" t="n">
        <v>249.72</v>
      </c>
      <c r="H15" s="6" t="n">
        <v>35.64</v>
      </c>
    </row>
    <row r="16" customFormat="false" ht="15" hidden="false" customHeight="false" outlineLevel="0" collapsed="false">
      <c r="B16" s="4" t="s">
        <v>183</v>
      </c>
      <c r="C16" s="5" t="n">
        <v>3</v>
      </c>
      <c r="D16" s="6" t="n">
        <v>1.33</v>
      </c>
      <c r="E16" s="6" t="n">
        <v>63.9</v>
      </c>
      <c r="F16" s="6" t="n">
        <v>81.32</v>
      </c>
      <c r="G16" s="9" t="n">
        <v>329.18</v>
      </c>
      <c r="H16" s="6" t="n">
        <v>31.82</v>
      </c>
    </row>
    <row r="17" customFormat="false" ht="15" hidden="false" customHeight="false" outlineLevel="0" collapsed="false">
      <c r="B17" s="4" t="s">
        <v>184</v>
      </c>
      <c r="C17" s="5" t="n">
        <v>3</v>
      </c>
      <c r="D17" s="6" t="n">
        <v>3</v>
      </c>
      <c r="E17" s="6" t="n">
        <v>64.03</v>
      </c>
      <c r="F17" s="6" t="n">
        <v>78.24</v>
      </c>
      <c r="G17" s="9" t="n">
        <v>436.74</v>
      </c>
      <c r="H17" s="6" t="n">
        <v>32.68</v>
      </c>
    </row>
    <row r="18" customFormat="false" ht="15" hidden="false" customHeight="false" outlineLevel="0" collapsed="false">
      <c r="B18" s="4" t="s">
        <v>185</v>
      </c>
      <c r="C18" s="5" t="n">
        <v>3</v>
      </c>
      <c r="D18" s="6" t="n">
        <v>1.33</v>
      </c>
      <c r="E18" s="6" t="n">
        <v>91.92</v>
      </c>
      <c r="F18" s="6" t="n">
        <v>110.81</v>
      </c>
      <c r="G18" s="9" t="n">
        <v>586.93</v>
      </c>
      <c r="H18" s="6" t="n">
        <v>34.39</v>
      </c>
    </row>
    <row r="19" customFormat="false" ht="15" hidden="false" customHeight="false" outlineLevel="0" collapsed="false">
      <c r="B19" s="4" t="s">
        <v>186</v>
      </c>
      <c r="C19" s="5" t="n">
        <v>0</v>
      </c>
      <c r="D19" s="6" t="n">
        <v>0</v>
      </c>
      <c r="E19" s="6" t="n">
        <v>72.79</v>
      </c>
      <c r="F19" s="6" t="n">
        <v>75.48</v>
      </c>
      <c r="G19" s="9" t="n">
        <v>781.87</v>
      </c>
      <c r="H19" s="6" t="n">
        <v>33.21</v>
      </c>
    </row>
    <row r="20" customFormat="false" ht="15" hidden="false" customHeight="false" outlineLevel="0" collapsed="false">
      <c r="B20" s="4" t="s">
        <v>187</v>
      </c>
      <c r="C20" s="5" t="n">
        <v>1</v>
      </c>
      <c r="D20" s="6" t="n">
        <v>0.33</v>
      </c>
      <c r="E20" s="6" t="n">
        <v>95.06</v>
      </c>
      <c r="F20" s="6" t="n">
        <v>96.45</v>
      </c>
      <c r="G20" s="9" t="n">
        <v>1045.8</v>
      </c>
      <c r="H20" s="6" t="n">
        <v>33.76</v>
      </c>
    </row>
    <row r="21" customFormat="false" ht="15" hidden="false" customHeight="false" outlineLevel="0" collapsed="false">
      <c r="B21" s="4" t="s">
        <v>188</v>
      </c>
      <c r="C21" s="5" t="n">
        <v>2</v>
      </c>
      <c r="D21" s="6" t="n">
        <v>1.67</v>
      </c>
      <c r="E21" s="6" t="n">
        <v>60.53</v>
      </c>
      <c r="F21" s="6" t="n">
        <v>78.47</v>
      </c>
      <c r="G21" s="9" t="n">
        <v>1422.7</v>
      </c>
      <c r="H21" s="6" t="n">
        <v>36.04</v>
      </c>
    </row>
    <row r="22" customFormat="false" ht="15" hidden="false" customHeight="false" outlineLevel="0" collapsed="false">
      <c r="B22" s="4" t="s">
        <v>189</v>
      </c>
      <c r="C22" s="5" t="n">
        <v>2</v>
      </c>
      <c r="D22" s="6" t="n">
        <v>1.33</v>
      </c>
      <c r="E22" s="6" t="n">
        <v>57.9</v>
      </c>
      <c r="F22" s="6" t="n">
        <v>67.78</v>
      </c>
      <c r="G22" s="9" t="n">
        <v>1939.49</v>
      </c>
      <c r="H22" s="6" t="n">
        <v>36.32</v>
      </c>
    </row>
    <row r="23" customFormat="false" ht="15" hidden="false" customHeight="false" outlineLevel="0" collapsed="false">
      <c r="B23" s="4" t="s">
        <v>190</v>
      </c>
      <c r="C23" s="5" t="n">
        <v>1</v>
      </c>
      <c r="D23" s="6" t="n">
        <v>0.33</v>
      </c>
      <c r="E23" s="6" t="n">
        <v>71.37</v>
      </c>
      <c r="F23" s="6" t="n">
        <v>94.27</v>
      </c>
      <c r="G23" s="9" t="n">
        <v>2538.82</v>
      </c>
      <c r="H23" s="6" t="n">
        <v>30.9</v>
      </c>
    </row>
    <row r="24" customFormat="false" ht="15" hidden="false" customHeight="false" outlineLevel="0" collapsed="false">
      <c r="B24" s="4" t="s">
        <v>191</v>
      </c>
      <c r="C24" s="5" t="n">
        <v>0</v>
      </c>
      <c r="D24" s="6" t="n">
        <v>0</v>
      </c>
      <c r="E24" s="6" t="n">
        <v>79.31</v>
      </c>
      <c r="F24" s="6" t="n">
        <v>81.22</v>
      </c>
      <c r="G24" s="9" t="n">
        <v>2992.62</v>
      </c>
      <c r="H24" s="6" t="n">
        <v>17.87</v>
      </c>
    </row>
    <row r="25" customFormat="false" ht="15" hidden="false" customHeight="false" outlineLevel="0" collapsed="false">
      <c r="B25" s="4" t="s">
        <v>192</v>
      </c>
      <c r="C25" s="5" t="n">
        <v>0</v>
      </c>
      <c r="D25" s="6" t="n">
        <v>0</v>
      </c>
      <c r="E25" s="6" t="n">
        <v>82.13</v>
      </c>
      <c r="F25" s="6" t="n">
        <v>76.87</v>
      </c>
      <c r="G25" s="9" t="n">
        <v>3572.41</v>
      </c>
      <c r="H25" s="6" t="n">
        <v>19.37</v>
      </c>
    </row>
    <row r="26" customFormat="false" ht="15" hidden="false" customHeight="false" outlineLevel="0" collapsed="false">
      <c r="B26" s="4" t="s">
        <v>193</v>
      </c>
      <c r="C26" s="5" t="n">
        <v>3</v>
      </c>
      <c r="D26" s="6" t="n">
        <v>1</v>
      </c>
      <c r="E26" s="6" t="n">
        <v>61.93</v>
      </c>
      <c r="F26" s="6" t="n">
        <v>58.77</v>
      </c>
      <c r="G26" s="9" t="n">
        <v>4361.15</v>
      </c>
      <c r="H26" s="6" t="n">
        <v>22.08</v>
      </c>
    </row>
    <row r="27" customFormat="false" ht="15" hidden="false" customHeight="false" outlineLevel="0" collapsed="false">
      <c r="B27" s="4" t="s">
        <v>194</v>
      </c>
      <c r="C27" s="5" t="n">
        <v>1</v>
      </c>
      <c r="D27" s="6" t="n">
        <v>1</v>
      </c>
      <c r="E27" s="6" t="n">
        <v>78.68</v>
      </c>
      <c r="F27" s="6" t="n">
        <v>72.35</v>
      </c>
      <c r="G27" s="9" t="n">
        <v>5212.38</v>
      </c>
      <c r="H27" s="6" t="n">
        <v>19.52</v>
      </c>
    </row>
    <row r="28" customFormat="false" ht="15" hidden="false" customHeight="false" outlineLevel="0" collapsed="false">
      <c r="B28" s="4" t="s">
        <v>195</v>
      </c>
      <c r="C28" s="5" t="n">
        <v>3</v>
      </c>
      <c r="D28" s="6" t="n">
        <v>2</v>
      </c>
      <c r="E28" s="6" t="n">
        <v>55.13</v>
      </c>
      <c r="F28" s="6" t="n">
        <v>64.31</v>
      </c>
      <c r="G28" s="9" t="n">
        <v>6094.12</v>
      </c>
      <c r="H28" s="6" t="n">
        <v>16.92</v>
      </c>
    </row>
    <row r="29" customFormat="false" ht="15" hidden="false" customHeight="false" outlineLevel="0" collapsed="false">
      <c r="B29" s="4" t="s">
        <v>196</v>
      </c>
      <c r="C29" s="5" t="n">
        <v>4</v>
      </c>
      <c r="D29" s="6" t="n">
        <v>3.33</v>
      </c>
      <c r="E29" s="6" t="n">
        <v>57.55</v>
      </c>
      <c r="F29" s="6" t="n">
        <v>59.07</v>
      </c>
      <c r="G29" s="9" t="n">
        <v>7242.65</v>
      </c>
      <c r="H29" s="6" t="n">
        <v>18.85</v>
      </c>
    </row>
    <row r="30" customFormat="false" ht="15" hidden="false" customHeight="false" outlineLevel="0" collapsed="false">
      <c r="B30" s="4" t="s">
        <v>197</v>
      </c>
      <c r="C30" s="5" t="n">
        <v>4</v>
      </c>
      <c r="D30" s="6" t="n">
        <v>4</v>
      </c>
      <c r="E30" s="6" t="n">
        <v>91.93</v>
      </c>
      <c r="F30" s="6" t="n">
        <v>92.13</v>
      </c>
      <c r="G30" s="9" t="n">
        <v>8714.07</v>
      </c>
      <c r="H30" s="6" t="n">
        <v>20.32</v>
      </c>
    </row>
    <row r="31" customFormat="false" ht="15" hidden="false" customHeight="false" outlineLevel="0" collapsed="false">
      <c r="B31" s="4" t="s">
        <v>198</v>
      </c>
      <c r="C31" s="5" t="n">
        <v>4</v>
      </c>
      <c r="D31" s="6" t="n">
        <v>4</v>
      </c>
      <c r="E31" s="6" t="n">
        <v>112.07</v>
      </c>
      <c r="F31" s="6" t="n">
        <v>98.55</v>
      </c>
      <c r="G31" s="9" t="n">
        <v>10256.15</v>
      </c>
      <c r="H31" s="6" t="n">
        <v>17.7</v>
      </c>
    </row>
    <row r="32" customFormat="false" ht="15" hidden="false" customHeight="false" outlineLevel="0" collapsed="false">
      <c r="B32" s="4" t="s">
        <v>199</v>
      </c>
      <c r="C32" s="5" t="n">
        <v>4</v>
      </c>
      <c r="D32" s="6" t="n">
        <v>1.33</v>
      </c>
      <c r="E32" s="6" t="n">
        <v>107.93</v>
      </c>
      <c r="F32" s="6" t="n">
        <v>72.44</v>
      </c>
      <c r="G32" s="9" t="n">
        <v>12054.38</v>
      </c>
      <c r="H32" s="6" t="n">
        <v>17.53</v>
      </c>
    </row>
    <row r="33" customFormat="false" ht="15" hidden="false" customHeight="false" outlineLevel="0" collapsed="false">
      <c r="B33" s="4" t="s">
        <v>200</v>
      </c>
      <c r="C33" s="5" t="n">
        <v>0</v>
      </c>
      <c r="D33" s="6" t="n">
        <v>0</v>
      </c>
      <c r="E33" s="6" t="n">
        <v>85.05</v>
      </c>
      <c r="F33" s="6" t="n">
        <v>75.53</v>
      </c>
      <c r="G33" s="9" t="n">
        <v>14222.34</v>
      </c>
      <c r="H33" s="6" t="n">
        <v>17.98</v>
      </c>
    </row>
    <row r="34" customFormat="false" ht="15" hidden="false" customHeight="false" outlineLevel="0" collapsed="false">
      <c r="B34" s="4" t="s">
        <v>201</v>
      </c>
      <c r="C34" s="5" t="n">
        <v>0</v>
      </c>
      <c r="D34" s="6" t="n">
        <v>0</v>
      </c>
      <c r="E34" s="6" t="n">
        <v>98.92</v>
      </c>
      <c r="F34" s="6" t="n">
        <v>90.35</v>
      </c>
      <c r="G34" s="9" t="n">
        <v>16729.97</v>
      </c>
      <c r="H34" s="6" t="n">
        <v>17.63</v>
      </c>
    </row>
    <row r="35" customFormat="false" ht="15" hidden="false" customHeight="false" outlineLevel="0" collapsed="false">
      <c r="B35" s="4" t="s">
        <v>202</v>
      </c>
      <c r="C35" s="5" t="n">
        <v>0</v>
      </c>
      <c r="D35" s="6" t="n">
        <v>0</v>
      </c>
      <c r="E35" s="6" t="n">
        <v>101.28</v>
      </c>
      <c r="F35" s="6" t="n">
        <v>108.68</v>
      </c>
      <c r="G35" s="9" t="n">
        <v>19735.78</v>
      </c>
      <c r="H35" s="6" t="n">
        <v>17.97</v>
      </c>
    </row>
    <row r="36" customFormat="false" ht="15" hidden="false" customHeight="false" outlineLevel="0" collapsed="false">
      <c r="B36" s="4" t="s">
        <v>203</v>
      </c>
      <c r="C36" s="5" t="n">
        <v>0</v>
      </c>
      <c r="D36" s="6" t="n">
        <v>0</v>
      </c>
      <c r="E36" s="6" t="n">
        <v>78.01</v>
      </c>
      <c r="F36" s="6" t="n">
        <v>95.68</v>
      </c>
      <c r="G36" s="9" t="n">
        <v>21886.39</v>
      </c>
      <c r="H36" s="6" t="n">
        <v>10.9</v>
      </c>
    </row>
    <row r="37" customFormat="false" ht="15" hidden="false" customHeight="false" outlineLevel="0" collapsed="false">
      <c r="B37" s="4" t="s">
        <v>204</v>
      </c>
      <c r="C37" s="5" t="n">
        <v>0</v>
      </c>
      <c r="D37" s="6" t="n">
        <v>0</v>
      </c>
      <c r="E37" s="6" t="n">
        <v>87.32</v>
      </c>
      <c r="F37" s="6" t="n">
        <v>89.11</v>
      </c>
      <c r="G37" s="9" t="n">
        <v>23429.99</v>
      </c>
      <c r="H37" s="6" t="n">
        <v>7.05</v>
      </c>
    </row>
    <row r="38" customFormat="false" ht="15" hidden="false" customHeight="false" outlineLevel="0" collapsed="false">
      <c r="B38" s="4" t="s">
        <v>205</v>
      </c>
      <c r="C38" s="5" t="n">
        <v>0</v>
      </c>
      <c r="D38" s="6" t="n">
        <v>0</v>
      </c>
      <c r="E38" s="6" t="n">
        <v>126.64</v>
      </c>
      <c r="F38" s="6" t="n">
        <v>79.37</v>
      </c>
      <c r="G38" s="9" t="n">
        <v>25320.99</v>
      </c>
      <c r="H38" s="6" t="n">
        <v>8.07</v>
      </c>
    </row>
    <row r="39" customFormat="false" ht="15" hidden="false" customHeight="false" outlineLevel="0" collapsed="false">
      <c r="B39" s="4" t="s">
        <v>206</v>
      </c>
      <c r="C39" s="5" t="n">
        <v>0</v>
      </c>
      <c r="D39" s="6" t="n">
        <v>0</v>
      </c>
      <c r="E39" s="6" t="n">
        <v>75.64</v>
      </c>
      <c r="F39" s="6" t="n">
        <v>61.35</v>
      </c>
      <c r="G39" s="9" t="n">
        <v>27715.65</v>
      </c>
      <c r="H39" s="6" t="n">
        <v>9.46</v>
      </c>
    </row>
    <row r="40" customFormat="false" ht="15" hidden="false" customHeight="false" outlineLevel="0" collapsed="false">
      <c r="B40" s="4" t="s">
        <v>207</v>
      </c>
      <c r="C40" s="5" t="n">
        <v>0</v>
      </c>
      <c r="D40" s="6" t="n">
        <v>0</v>
      </c>
      <c r="E40" s="6" t="n">
        <v>100.11</v>
      </c>
      <c r="F40" s="6" t="n">
        <v>66.78</v>
      </c>
      <c r="G40" s="9" t="n">
        <v>30348.32</v>
      </c>
      <c r="H40" s="6" t="n">
        <v>9.5</v>
      </c>
    </row>
    <row r="41" customFormat="false" ht="15" hidden="false" customHeight="false" outlineLevel="0" collapsed="false">
      <c r="B41" s="4" t="s">
        <v>208</v>
      </c>
      <c r="C41" s="5" t="n">
        <v>2</v>
      </c>
      <c r="D41" s="6" t="n">
        <v>1</v>
      </c>
      <c r="E41" s="6" t="n">
        <v>61.54</v>
      </c>
      <c r="F41" s="6" t="n">
        <v>55.13</v>
      </c>
      <c r="G41" s="9" t="n">
        <v>33026.04</v>
      </c>
      <c r="H41" s="6" t="n">
        <v>8.82</v>
      </c>
    </row>
    <row r="42" customFormat="false" ht="15" hidden="false" customHeight="false" outlineLevel="0" collapsed="false">
      <c r="B42" s="4" t="s">
        <v>209</v>
      </c>
      <c r="C42" s="5" t="n">
        <v>3</v>
      </c>
      <c r="D42" s="6" t="n">
        <v>1.33</v>
      </c>
      <c r="E42" s="6" t="n">
        <v>82.76</v>
      </c>
      <c r="F42" s="6" t="n">
        <v>89.52</v>
      </c>
      <c r="G42" s="9" t="n">
        <v>35812.4</v>
      </c>
      <c r="H42" s="6" t="n">
        <v>8.44</v>
      </c>
    </row>
    <row r="43" customFormat="false" ht="15" hidden="false" customHeight="false" outlineLevel="0" collapsed="false">
      <c r="B43" s="4" t="s">
        <v>210</v>
      </c>
      <c r="C43" s="5" t="n">
        <v>0</v>
      </c>
      <c r="D43" s="6" t="n">
        <v>0</v>
      </c>
      <c r="E43" s="6" t="n">
        <v>82.18</v>
      </c>
      <c r="F43" s="6" t="n">
        <v>81.19</v>
      </c>
      <c r="G43" s="9" t="n">
        <v>38363.92</v>
      </c>
      <c r="H43" s="6" t="n">
        <v>7.12</v>
      </c>
    </row>
    <row r="44" customFormat="false" ht="15" hidden="false" customHeight="false" outlineLevel="0" collapsed="false">
      <c r="B44" s="4" t="s">
        <v>211</v>
      </c>
      <c r="C44" s="5" t="n">
        <v>2</v>
      </c>
      <c r="D44" s="6" t="n">
        <v>1</v>
      </c>
      <c r="E44" s="6" t="n">
        <v>71.07</v>
      </c>
      <c r="F44" s="6" t="n">
        <v>83.75</v>
      </c>
      <c r="G44" s="9" t="n">
        <v>40744.79</v>
      </c>
      <c r="H44" s="6" t="n">
        <v>6.21</v>
      </c>
    </row>
    <row r="45" customFormat="false" ht="15" hidden="false" customHeight="false" outlineLevel="0" collapsed="false">
      <c r="B45" s="4" t="s">
        <v>212</v>
      </c>
      <c r="C45" s="5" t="n">
        <v>3</v>
      </c>
      <c r="D45" s="6" t="n">
        <v>2.67</v>
      </c>
      <c r="E45" s="6" t="n">
        <v>71.88</v>
      </c>
      <c r="F45" s="6" t="n">
        <v>70.61</v>
      </c>
      <c r="G45" s="9" t="n">
        <v>42957.91</v>
      </c>
      <c r="H45" s="6" t="n">
        <v>5.43</v>
      </c>
    </row>
    <row r="46" customFormat="false" ht="15" hidden="false" customHeight="false" outlineLevel="0" collapsed="false">
      <c r="B46" s="4" t="s">
        <v>213</v>
      </c>
      <c r="C46" s="5" t="n">
        <v>2</v>
      </c>
      <c r="D46" s="6" t="n">
        <v>1.67</v>
      </c>
      <c r="E46" s="6" t="n">
        <v>61.57</v>
      </c>
      <c r="F46" s="6" t="n">
        <v>68.44</v>
      </c>
      <c r="G46" s="9" t="n">
        <v>45146.19</v>
      </c>
      <c r="H46" s="6" t="n">
        <v>5.09</v>
      </c>
    </row>
    <row r="47" customFormat="false" ht="15" hidden="false" customHeight="false" outlineLevel="0" collapsed="false">
      <c r="B47" s="4" t="s">
        <v>214</v>
      </c>
      <c r="C47" s="5" t="n">
        <v>0</v>
      </c>
      <c r="D47" s="6" t="n">
        <v>0</v>
      </c>
      <c r="E47" s="6" t="n">
        <v>74.12</v>
      </c>
      <c r="F47" s="6" t="n">
        <v>81.18</v>
      </c>
      <c r="G47" s="9" t="n">
        <v>47174.91</v>
      </c>
      <c r="H47" s="6" t="n">
        <v>4.49</v>
      </c>
    </row>
    <row r="48" customFormat="false" ht="15" hidden="false" customHeight="false" outlineLevel="0" collapsed="false">
      <c r="B48" s="4" t="s">
        <v>215</v>
      </c>
      <c r="C48" s="5" t="n">
        <v>1</v>
      </c>
      <c r="D48" s="6" t="n">
        <v>0.67</v>
      </c>
      <c r="E48" s="6" t="n">
        <v>76.73</v>
      </c>
      <c r="F48" s="6" t="n">
        <v>87.69</v>
      </c>
      <c r="G48" s="9" t="n">
        <v>48673.27</v>
      </c>
      <c r="H48" s="6" t="n">
        <v>3.18</v>
      </c>
    </row>
    <row r="49" customFormat="false" ht="15" hidden="false" customHeight="false" outlineLevel="0" collapsed="false">
      <c r="B49" s="4" t="s">
        <v>216</v>
      </c>
      <c r="C49" s="5" t="n">
        <v>1</v>
      </c>
      <c r="D49" s="6" t="n">
        <v>1</v>
      </c>
      <c r="E49" s="6" t="n">
        <v>115.11</v>
      </c>
      <c r="F49" s="6" t="n">
        <v>96.83</v>
      </c>
      <c r="G49" s="9" t="n">
        <v>48776.85</v>
      </c>
      <c r="H49" s="6" t="n">
        <v>0.21</v>
      </c>
    </row>
  </sheetData>
  <autoFilter ref="B2:H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0"/>
    <col collapsed="false" customWidth="true" hidden="false" outlineLevel="0" max="4" min="4" style="0" width="11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4"/>
  </cols>
  <sheetData>
    <row r="2" customFormat="false" ht="19.7" hidden="false" customHeight="false" outlineLevel="0" collapsed="false">
      <c r="B2" s="11" t="s">
        <v>217</v>
      </c>
      <c r="C2" s="11"/>
      <c r="D2" s="11"/>
      <c r="E2" s="11"/>
      <c r="F2" s="11"/>
      <c r="G2" s="11"/>
      <c r="H2" s="11"/>
    </row>
    <row r="4" customFormat="false" ht="15" hidden="false" customHeight="false" outlineLevel="0" collapsed="false">
      <c r="B4" s="3" t="s">
        <v>16</v>
      </c>
      <c r="C4" s="3" t="s">
        <v>37</v>
      </c>
      <c r="D4" s="3" t="s">
        <v>35</v>
      </c>
      <c r="E4" s="3" t="s">
        <v>19</v>
      </c>
      <c r="F4" s="3" t="s">
        <v>33</v>
      </c>
      <c r="G4" s="3" t="s">
        <v>103</v>
      </c>
      <c r="H4" s="3" t="s">
        <v>218</v>
      </c>
    </row>
    <row r="5" customFormat="false" ht="15" hidden="false" customHeight="false" outlineLevel="0" collapsed="false">
      <c r="B5" s="12" t="n">
        <v>2015</v>
      </c>
      <c r="C5" s="8" t="n">
        <f aca="false">COUNTIFS('Dados Mensais'!$P$3:$P$142,$B5,'Dados Mensais'!$C$3:$C$142,"Verde")</f>
        <v>0</v>
      </c>
      <c r="D5" s="8" t="n">
        <f aca="false">COUNTIFS('Dados Mensais'!$P$3:$P$142,$B5,'Dados Mensais'!$C$3:$C$142,"Amarela")</f>
        <v>0</v>
      </c>
      <c r="E5" s="8" t="n">
        <f aca="false">COUNTIFS('Dados Mensais'!$P$3:$P$142,$B5,'Dados Mensais'!$C$3:$C$142,"Vermelha P1")</f>
        <v>12</v>
      </c>
      <c r="F5" s="8" t="n">
        <f aca="false">COUNTIFS('Dados Mensais'!$P$3:$P$142,$B5,'Dados Mensais'!$C$3:$C$142,"Vermelha P2")</f>
        <v>0</v>
      </c>
      <c r="G5" s="8" t="n">
        <f aca="false">COUNTIFS('Dados Mensais'!$P$3:$P$142,$B5,'Dados Mensais'!$C$3:$C$142,"Escassez Hídrica")</f>
        <v>0</v>
      </c>
      <c r="H5" s="8" t="n">
        <f aca="false">SUM(C5:G5)</f>
        <v>12</v>
      </c>
    </row>
    <row r="6" customFormat="false" ht="15" hidden="false" customHeight="false" outlineLevel="0" collapsed="false">
      <c r="B6" s="12" t="n">
        <v>2016</v>
      </c>
      <c r="C6" s="8" t="n">
        <f aca="false">COUNTIFS('Dados Mensais'!$P$3:$P$142,$B6,'Dados Mensais'!$C$3:$C$142,"Verde")</f>
        <v>8</v>
      </c>
      <c r="D6" s="8" t="n">
        <f aca="false">COUNTIFS('Dados Mensais'!$P$3:$P$142,$B6,'Dados Mensais'!$C$3:$C$142,"Amarela")</f>
        <v>2</v>
      </c>
      <c r="E6" s="8" t="n">
        <f aca="false">COUNTIFS('Dados Mensais'!$P$3:$P$142,$B6,'Dados Mensais'!$C$3:$C$142,"Vermelha P1")</f>
        <v>1</v>
      </c>
      <c r="F6" s="8" t="n">
        <f aca="false">COUNTIFS('Dados Mensais'!$P$3:$P$142,$B6,'Dados Mensais'!$C$3:$C$142,"Vermelha P2")</f>
        <v>1</v>
      </c>
      <c r="G6" s="8" t="n">
        <f aca="false">COUNTIFS('Dados Mensais'!$P$3:$P$142,$B6,'Dados Mensais'!$C$3:$C$142,"Escassez Hídrica")</f>
        <v>0</v>
      </c>
      <c r="H6" s="8" t="n">
        <f aca="false">SUM(C6:G6)</f>
        <v>12</v>
      </c>
    </row>
    <row r="7" customFormat="false" ht="15" hidden="false" customHeight="false" outlineLevel="0" collapsed="false">
      <c r="B7" s="12" t="n">
        <v>2017</v>
      </c>
      <c r="C7" s="8" t="n">
        <f aca="false">COUNTIFS('Dados Mensais'!$P$3:$P$142,$B7,'Dados Mensais'!$C$3:$C$142,"Verde")</f>
        <v>3</v>
      </c>
      <c r="D7" s="8" t="n">
        <f aca="false">COUNTIFS('Dados Mensais'!$P$3:$P$142,$B7,'Dados Mensais'!$C$3:$C$142,"Amarela")</f>
        <v>3</v>
      </c>
      <c r="E7" s="8" t="n">
        <f aca="false">COUNTIFS('Dados Mensais'!$P$3:$P$142,$B7,'Dados Mensais'!$C$3:$C$142,"Vermelha P1")</f>
        <v>4</v>
      </c>
      <c r="F7" s="8" t="n">
        <f aca="false">COUNTIFS('Dados Mensais'!$P$3:$P$142,$B7,'Dados Mensais'!$C$3:$C$142,"Vermelha P2")</f>
        <v>2</v>
      </c>
      <c r="G7" s="8" t="n">
        <f aca="false">COUNTIFS('Dados Mensais'!$P$3:$P$142,$B7,'Dados Mensais'!$C$3:$C$142,"Escassez Hídrica")</f>
        <v>0</v>
      </c>
      <c r="H7" s="8" t="n">
        <f aca="false">SUM(C7:G7)</f>
        <v>12</v>
      </c>
    </row>
    <row r="8" customFormat="false" ht="15" hidden="false" customHeight="false" outlineLevel="0" collapsed="false">
      <c r="B8" s="12" t="n">
        <v>2018</v>
      </c>
      <c r="C8" s="8" t="n">
        <f aca="false">COUNTIFS('Dados Mensais'!$P$3:$P$142,$B8,'Dados Mensais'!$C$3:$C$142,"Verde")</f>
        <v>5</v>
      </c>
      <c r="D8" s="8" t="n">
        <f aca="false">COUNTIFS('Dados Mensais'!$P$3:$P$142,$B8,'Dados Mensais'!$C$3:$C$142,"Amarela")</f>
        <v>2</v>
      </c>
      <c r="E8" s="8" t="n">
        <f aca="false">COUNTIFS('Dados Mensais'!$P$3:$P$142,$B8,'Dados Mensais'!$C$3:$C$142,"Vermelha P1")</f>
        <v>0</v>
      </c>
      <c r="F8" s="8" t="n">
        <f aca="false">COUNTIFS('Dados Mensais'!$P$3:$P$142,$B8,'Dados Mensais'!$C$3:$C$142,"Vermelha P2")</f>
        <v>5</v>
      </c>
      <c r="G8" s="8" t="n">
        <f aca="false">COUNTIFS('Dados Mensais'!$P$3:$P$142,$B8,'Dados Mensais'!$C$3:$C$142,"Escassez Hídrica")</f>
        <v>0</v>
      </c>
      <c r="H8" s="8" t="n">
        <f aca="false">SUM(C8:G8)</f>
        <v>12</v>
      </c>
    </row>
    <row r="9" customFormat="false" ht="15" hidden="false" customHeight="false" outlineLevel="0" collapsed="false">
      <c r="B9" s="12" t="n">
        <v>2019</v>
      </c>
      <c r="C9" s="8" t="n">
        <f aca="false">COUNTIFS('Dados Mensais'!$P$3:$P$142,$B9,'Dados Mensais'!$C$3:$C$142,"Verde")</f>
        <v>5</v>
      </c>
      <c r="D9" s="8" t="n">
        <f aca="false">COUNTIFS('Dados Mensais'!$P$3:$P$142,$B9,'Dados Mensais'!$C$3:$C$142,"Amarela")</f>
        <v>4</v>
      </c>
      <c r="E9" s="8" t="n">
        <f aca="false">COUNTIFS('Dados Mensais'!$P$3:$P$142,$B9,'Dados Mensais'!$C$3:$C$142,"Vermelha P1")</f>
        <v>3</v>
      </c>
      <c r="F9" s="8" t="n">
        <f aca="false">COUNTIFS('Dados Mensais'!$P$3:$P$142,$B9,'Dados Mensais'!$C$3:$C$142,"Vermelha P2")</f>
        <v>0</v>
      </c>
      <c r="G9" s="8" t="n">
        <f aca="false">COUNTIFS('Dados Mensais'!$P$3:$P$142,$B9,'Dados Mensais'!$C$3:$C$142,"Escassez Hídrica")</f>
        <v>0</v>
      </c>
      <c r="H9" s="8" t="n">
        <f aca="false">SUM(C9:G9)</f>
        <v>12</v>
      </c>
    </row>
    <row r="10" customFormat="false" ht="15" hidden="false" customHeight="false" outlineLevel="0" collapsed="false">
      <c r="B10" s="12" t="n">
        <v>2020</v>
      </c>
      <c r="C10" s="8" t="n">
        <f aca="false">COUNTIFS('Dados Mensais'!$P$3:$P$142,$B10,'Dados Mensais'!$C$3:$C$142,"Verde")</f>
        <v>10</v>
      </c>
      <c r="D10" s="8" t="n">
        <f aca="false">COUNTIFS('Dados Mensais'!$P$3:$P$142,$B10,'Dados Mensais'!$C$3:$C$142,"Amarela")</f>
        <v>1</v>
      </c>
      <c r="E10" s="8" t="n">
        <f aca="false">COUNTIFS('Dados Mensais'!$P$3:$P$142,$B10,'Dados Mensais'!$C$3:$C$142,"Vermelha P1")</f>
        <v>0</v>
      </c>
      <c r="F10" s="8" t="n">
        <f aca="false">COUNTIFS('Dados Mensais'!$P$3:$P$142,$B10,'Dados Mensais'!$C$3:$C$142,"Vermelha P2")</f>
        <v>1</v>
      </c>
      <c r="G10" s="8" t="n">
        <f aca="false">COUNTIFS('Dados Mensais'!$P$3:$P$142,$B10,'Dados Mensais'!$C$3:$C$142,"Escassez Hídrica")</f>
        <v>0</v>
      </c>
      <c r="H10" s="8" t="n">
        <f aca="false">SUM(C10:G10)</f>
        <v>12</v>
      </c>
    </row>
    <row r="11" customFormat="false" ht="15" hidden="false" customHeight="false" outlineLevel="0" collapsed="false">
      <c r="B11" s="12" t="n">
        <v>2021</v>
      </c>
      <c r="C11" s="8" t="n">
        <f aca="false">COUNTIFS('Dados Mensais'!$P$3:$P$142,$B11,'Dados Mensais'!$C$3:$C$142,"Verde")</f>
        <v>0</v>
      </c>
      <c r="D11" s="8" t="n">
        <f aca="false">COUNTIFS('Dados Mensais'!$P$3:$P$142,$B11,'Dados Mensais'!$C$3:$C$142,"Amarela")</f>
        <v>4</v>
      </c>
      <c r="E11" s="8" t="n">
        <f aca="false">COUNTIFS('Dados Mensais'!$P$3:$P$142,$B11,'Dados Mensais'!$C$3:$C$142,"Vermelha P1")</f>
        <v>1</v>
      </c>
      <c r="F11" s="8" t="n">
        <f aca="false">COUNTIFS('Dados Mensais'!$P$3:$P$142,$B11,'Dados Mensais'!$C$3:$C$142,"Vermelha P2")</f>
        <v>3</v>
      </c>
      <c r="G11" s="8" t="n">
        <f aca="false">COUNTIFS('Dados Mensais'!$P$3:$P$142,$B11,'Dados Mensais'!$C$3:$C$142,"Escassez Hídrica")</f>
        <v>4</v>
      </c>
      <c r="H11" s="8" t="n">
        <f aca="false">SUM(C11:G11)</f>
        <v>12</v>
      </c>
    </row>
    <row r="12" customFormat="false" ht="15" hidden="false" customHeight="false" outlineLevel="0" collapsed="false">
      <c r="B12" s="12" t="n">
        <v>2022</v>
      </c>
      <c r="C12" s="8" t="n">
        <f aca="false">COUNTIFS('Dados Mensais'!$P$3:$P$142,$B12,'Dados Mensais'!$C$3:$C$142,"Verde")</f>
        <v>8</v>
      </c>
      <c r="D12" s="8" t="n">
        <f aca="false">COUNTIFS('Dados Mensais'!$P$3:$P$142,$B12,'Dados Mensais'!$C$3:$C$142,"Amarela")</f>
        <v>0</v>
      </c>
      <c r="E12" s="8" t="n">
        <f aca="false">COUNTIFS('Dados Mensais'!$P$3:$P$142,$B12,'Dados Mensais'!$C$3:$C$142,"Vermelha P1")</f>
        <v>0</v>
      </c>
      <c r="F12" s="8" t="n">
        <f aca="false">COUNTIFS('Dados Mensais'!$P$3:$P$142,$B12,'Dados Mensais'!$C$3:$C$142,"Vermelha P2")</f>
        <v>0</v>
      </c>
      <c r="G12" s="8" t="n">
        <f aca="false">COUNTIFS('Dados Mensais'!$P$3:$P$142,$B12,'Dados Mensais'!$C$3:$C$142,"Escassez Hídrica")</f>
        <v>4</v>
      </c>
      <c r="H12" s="8" t="n">
        <f aca="false">SUM(C12:G12)</f>
        <v>12</v>
      </c>
    </row>
    <row r="13" customFormat="false" ht="15" hidden="false" customHeight="false" outlineLevel="0" collapsed="false">
      <c r="B13" s="12" t="n">
        <v>2023</v>
      </c>
      <c r="C13" s="8" t="n">
        <f aca="false">COUNTIFS('Dados Mensais'!$P$3:$P$142,$B13,'Dados Mensais'!$C$3:$C$142,"Verde")</f>
        <v>12</v>
      </c>
      <c r="D13" s="8" t="n">
        <f aca="false">COUNTIFS('Dados Mensais'!$P$3:$P$142,$B13,'Dados Mensais'!$C$3:$C$142,"Amarela")</f>
        <v>0</v>
      </c>
      <c r="E13" s="8" t="n">
        <f aca="false">COUNTIFS('Dados Mensais'!$P$3:$P$142,$B13,'Dados Mensais'!$C$3:$C$142,"Vermelha P1")</f>
        <v>0</v>
      </c>
      <c r="F13" s="8" t="n">
        <f aca="false">COUNTIFS('Dados Mensais'!$P$3:$P$142,$B13,'Dados Mensais'!$C$3:$C$142,"Vermelha P2")</f>
        <v>0</v>
      </c>
      <c r="G13" s="8" t="n">
        <f aca="false">COUNTIFS('Dados Mensais'!$P$3:$P$142,$B13,'Dados Mensais'!$C$3:$C$142,"Escassez Hídrica")</f>
        <v>0</v>
      </c>
      <c r="H13" s="8" t="n">
        <f aca="false">SUM(C13:G13)</f>
        <v>12</v>
      </c>
    </row>
    <row r="14" customFormat="false" ht="15" hidden="false" customHeight="false" outlineLevel="0" collapsed="false">
      <c r="B14" s="12" t="n">
        <v>2024</v>
      </c>
      <c r="C14" s="8" t="n">
        <f aca="false">COUNTIFS('Dados Mensais'!$P$3:$P$142,$B14,'Dados Mensais'!$C$3:$C$142,"Verde")</f>
        <v>8</v>
      </c>
      <c r="D14" s="8" t="n">
        <f aca="false">COUNTIFS('Dados Mensais'!$P$3:$P$142,$B14,'Dados Mensais'!$C$3:$C$142,"Amarela")</f>
        <v>2</v>
      </c>
      <c r="E14" s="8" t="n">
        <f aca="false">COUNTIFS('Dados Mensais'!$P$3:$P$142,$B14,'Dados Mensais'!$C$3:$C$142,"Vermelha P1")</f>
        <v>1</v>
      </c>
      <c r="F14" s="8" t="n">
        <f aca="false">COUNTIFS('Dados Mensais'!$P$3:$P$142,$B14,'Dados Mensais'!$C$3:$C$142,"Vermelha P2")</f>
        <v>1</v>
      </c>
      <c r="G14" s="8" t="n">
        <f aca="false">COUNTIFS('Dados Mensais'!$P$3:$P$142,$B14,'Dados Mensais'!$C$3:$C$142,"Escassez Hídrica")</f>
        <v>0</v>
      </c>
      <c r="H14" s="8" t="n">
        <f aca="false">SUM(C14:G14)</f>
        <v>12</v>
      </c>
    </row>
    <row r="15" customFormat="false" ht="15" hidden="false" customHeight="false" outlineLevel="0" collapsed="false">
      <c r="B15" s="12" t="n">
        <v>2025</v>
      </c>
      <c r="C15" s="8" t="n">
        <f aca="false">COUNTIFS('Dados Mensais'!$P$3:$P$142,$B15,'Dados Mensais'!$C$3:$C$142,"Verde")</f>
        <v>4</v>
      </c>
      <c r="D15" s="8" t="n">
        <f aca="false">COUNTIFS('Dados Mensais'!$P$3:$P$142,$B15,'Dados Mensais'!$C$3:$C$142,"Amarela")</f>
        <v>2</v>
      </c>
      <c r="E15" s="8" t="n">
        <f aca="false">COUNTIFS('Dados Mensais'!$P$3:$P$142,$B15,'Dados Mensais'!$C$3:$C$142,"Vermelha P1")</f>
        <v>4</v>
      </c>
      <c r="F15" s="8" t="n">
        <f aca="false">COUNTIFS('Dados Mensais'!$P$3:$P$142,$B15,'Dados Mensais'!$C$3:$C$142,"Vermelha P2")</f>
        <v>2</v>
      </c>
      <c r="G15" s="8" t="n">
        <f aca="false">COUNTIFS('Dados Mensais'!$P$3:$P$142,$B15,'Dados Mensais'!$C$3:$C$142,"Escassez Hídrica")</f>
        <v>0</v>
      </c>
      <c r="H15" s="8" t="n">
        <f aca="false">SUM(C15:G15)</f>
        <v>12</v>
      </c>
    </row>
    <row r="16" customFormat="false" ht="15" hidden="false" customHeight="false" outlineLevel="0" collapsed="false">
      <c r="B16" s="12" t="n">
        <v>2026</v>
      </c>
      <c r="C16" s="8" t="n">
        <f aca="false">COUNTIFS('Dados Mensais'!$P$3:$P$142,$B16,'Dados Mensais'!$C$3:$C$142,"Verde")</f>
        <v>4</v>
      </c>
      <c r="D16" s="8" t="n">
        <f aca="false">COUNTIFS('Dados Mensais'!$P$3:$P$142,$B16,'Dados Mensais'!$C$3:$C$142,"Amarela")</f>
        <v>4</v>
      </c>
      <c r="E16" s="8" t="n">
        <f aca="false">COUNTIFS('Dados Mensais'!$P$3:$P$142,$B16,'Dados Mensais'!$C$3:$C$142,"Vermelha P1")</f>
        <v>0</v>
      </c>
      <c r="F16" s="8" t="n">
        <f aca="false">COUNTIFS('Dados Mensais'!$P$3:$P$142,$B16,'Dados Mensais'!$C$3:$C$142,"Vermelha P2")</f>
        <v>0</v>
      </c>
      <c r="G16" s="8" t="n">
        <f aca="false">COUNTIFS('Dados Mensais'!$P$3:$P$142,$B16,'Dados Mensais'!$C$3:$C$142,"Escassez Hídrica")</f>
        <v>0</v>
      </c>
      <c r="H16" s="8" t="n">
        <f aca="false">SUM(C16:G16)</f>
        <v>8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6"/>
  </cols>
  <sheetData>
    <row r="2" customFormat="false" ht="19.7" hidden="false" customHeight="false" outlineLevel="0" collapsed="false">
      <c r="B2" s="11" t="s">
        <v>219</v>
      </c>
      <c r="C2" s="11"/>
      <c r="D2" s="11"/>
    </row>
    <row r="4" customFormat="false" ht="15" hidden="false" customHeight="false" outlineLevel="0" collapsed="false">
      <c r="B4" s="3" t="s">
        <v>220</v>
      </c>
      <c r="C4" s="3" t="s">
        <v>221</v>
      </c>
    </row>
    <row r="5" customFormat="false" ht="15" hidden="false" customHeight="false" outlineLevel="0" collapsed="false">
      <c r="B5" s="4" t="s">
        <v>222</v>
      </c>
      <c r="C5" s="6" t="n">
        <f aca="false">CORREL('Dados Mensais'!$D$3:$D$142,'Dados Mensais'!$J$3:$J$142)</f>
        <v>-0.0950786207887402</v>
      </c>
    </row>
    <row r="6" customFormat="false" ht="15" hidden="false" customHeight="false" outlineLevel="0" collapsed="false">
      <c r="B6" s="4" t="s">
        <v>223</v>
      </c>
      <c r="C6" s="6" t="n">
        <f aca="false">CORREL('Dados Mensais'!$D$3:$D$142,'Dados Mensais'!$G$3:$G$142)</f>
        <v>-0.0368927847926103</v>
      </c>
    </row>
    <row r="7" customFormat="false" ht="15" hidden="false" customHeight="false" outlineLevel="0" collapsed="false">
      <c r="B7" s="4" t="s">
        <v>224</v>
      </c>
      <c r="C7" s="6" t="n">
        <f aca="false">CORREL('Dados Mensais'!$D$3:$D$142,'Dados Mensais'!$E$3:$E$142)</f>
        <v>-0.00986577679440458</v>
      </c>
    </row>
    <row r="8" customFormat="false" ht="15" hidden="false" customHeight="false" outlineLevel="0" collapsed="false">
      <c r="B8" s="4" t="s">
        <v>225</v>
      </c>
      <c r="C8" s="6" t="n">
        <f aca="false">CORREL('Dados Mensais'!$D$3:$D$142,'Dados Mensais'!$F$3:$F$142)</f>
        <v>0.098744194466256</v>
      </c>
    </row>
    <row r="9" customFormat="false" ht="15" hidden="false" customHeight="false" outlineLevel="0" collapsed="false">
      <c r="B9" s="4" t="s">
        <v>226</v>
      </c>
      <c r="C9" s="6" t="n">
        <f aca="false">CORREL('Dados Mensais'!$D$3:$D$142,'Dados Mensais'!$H$3:$H$142)</f>
        <v>-0.133042450112318</v>
      </c>
    </row>
    <row r="10" customFormat="false" ht="15" hidden="false" customHeight="false" outlineLevel="0" collapsed="false">
      <c r="B10" s="4" t="s">
        <v>17</v>
      </c>
      <c r="C10" s="6" t="n">
        <f aca="false">CORREL('Dados Mensais'!$D$4:$D$142,'Dados Mensais'!$Q$4:$Q$142)</f>
        <v>0.118106209015393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2026-08-21T00:12:32Z</dcterms:created>
  <dc:creator>openpyxl</dc:creator>
  <dc:description/>
  <dc:language>en-US</dc:language>
  <cp:lastModifiedBy/>
  <dcterms:modified xsi:type="dcterms:W3CDTF">2026-08-21T00:14:16Z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